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6440" tabRatio="600" firstSheet="0" activeTab="0" autoFilterDateGrouping="1"/>
  </bookViews>
  <sheets>
    <sheet xmlns:r="http://schemas.openxmlformats.org/officeDocument/2006/relationships" name="오픈소스&amp;직접수집" sheetId="1" state="visible" r:id="rId1"/>
    <sheet xmlns:r="http://schemas.openxmlformats.org/officeDocument/2006/relationships" name="wos(corecollection)_260528" sheetId="2" state="visible" r:id="rId2"/>
  </sheets>
  <definedNames>
    <definedName name="_xlnm._FilterDatabase" localSheetId="0" hidden="1">'오픈소스&amp;직접수집'!$A$1:$F$675</definedName>
    <definedName name="_xlnm._FilterDatabase" localSheetId="1" hidden="1">'wos(corecollection)_260528'!$A$1:$BW$93</definedName>
  </definedNames>
  <calcPr calcId="162913" fullCalcOnLoad="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family val="2"/>
      <color theme="10"/>
      <sz val="11"/>
      <u val="single"/>
      <scheme val="minor"/>
    </font>
    <font>
      <name val="Noto Sans KR"/>
      <charset val="1"/>
      <family val="2"/>
      <color theme="1"/>
      <sz val="11"/>
    </font>
    <font>
      <name val="Noto Sans KR"/>
      <charset val="129"/>
      <family val="2"/>
      <color theme="1"/>
      <sz val="11"/>
    </font>
    <font>
      <name val="Arial"/>
      <family val="2"/>
      <sz val="10"/>
    </font>
    <font>
      <name val="맑은 고딕"/>
      <charset val="129"/>
      <family val="3"/>
      <sz val="10"/>
    </font>
    <font>
      <name val="돋움"/>
      <charset val="129"/>
      <family val="3"/>
      <sz val="8"/>
    </font>
    <font>
      <name val="맑은 고딕"/>
      <charset val="129"/>
      <family val="2"/>
      <sz val="10"/>
    </font>
  </fonts>
  <fills count="2">
    <fill>
      <patternFill/>
    </fill>
    <fill>
      <patternFill patternType="gray125"/>
    </fill>
  </fills>
  <borders count="1">
    <border>
      <left/>
      <right/>
      <top/>
      <bottom/>
      <diagonal/>
    </border>
  </borders>
  <cellStyleXfs count="3">
    <xf numFmtId="0" fontId="0" fillId="0" borderId="0"/>
    <xf numFmtId="0" fontId="2" fillId="0" borderId="0"/>
    <xf numFmtId="0" fontId="5" fillId="0" borderId="0"/>
  </cellStyleXfs>
  <cellXfs count="6">
    <xf numFmtId="0" fontId="0"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applyAlignment="1" pivotButton="0" quotePrefix="0" xfId="1">
      <alignment vertical="top"/>
    </xf>
    <xf numFmtId="0" fontId="5" fillId="0" borderId="0" pivotButton="0" quotePrefix="0" xfId="0"/>
    <xf numFmtId="0" fontId="5" fillId="0" borderId="0" pivotButton="0" quotePrefix="0" xfId="2"/>
  </cellXfs>
  <cellStyles count="3">
    <cellStyle name="표준" xfId="0" builtinId="0"/>
    <cellStyle name="하이퍼링크" xfId="1" builtinId="8"/>
    <cellStyle name="표준 2" xfId="2"/>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7"/>
  <sheetViews>
    <sheetView tabSelected="1" zoomScale="70" zoomScaleNormal="70" workbookViewId="0">
      <pane xSplit="1" ySplit="1" topLeftCell="B2" activePane="bottomRight" state="frozen"/>
      <selection pane="topRight" activeCell="C1" sqref="C1"/>
      <selection pane="bottomLeft" activeCell="A2" sqref="A2"/>
      <selection pane="bottomRight" activeCell="G2" sqref="G2"/>
    </sheetView>
  </sheetViews>
  <sheetFormatPr baseColWidth="8" defaultRowHeight="16.5"/>
  <cols>
    <col width="112.25" customWidth="1" style="1" min="1" max="1"/>
    <col width="25.625" customWidth="1" style="1" min="2" max="2"/>
    <col width="9" customWidth="1" style="1" min="3" max="5"/>
    <col width="23.125" customWidth="1" style="1" min="6" max="6"/>
    <col width="9" customWidth="1" style="1" min="7" max="16384"/>
  </cols>
  <sheetData>
    <row r="1">
      <c r="A1" s="1" t="inlineStr">
        <is>
          <t>title</t>
        </is>
      </c>
      <c r="B1" s="1" t="inlineStr">
        <is>
          <t>authors</t>
        </is>
      </c>
      <c r="C1" s="1" t="inlineStr">
        <is>
          <t>journal</t>
        </is>
      </c>
      <c r="D1" s="1" t="inlineStr">
        <is>
          <t>publisher</t>
        </is>
      </c>
      <c r="E1" s="1" t="inlineStr">
        <is>
          <t>year</t>
        </is>
      </c>
      <c r="F1" s="1" t="inlineStr">
        <is>
          <t>doi</t>
        </is>
      </c>
      <c r="G1" s="1" t="inlineStr">
        <is>
          <t>Web of Science Core Collection</t>
        </is>
      </c>
      <c r="H1" t="inlineStr">
        <is>
          <t>초록</t>
        </is>
      </c>
      <c r="I1" t="inlineStr">
        <is>
          <t>openalex_id</t>
        </is>
      </c>
      <c r="J1" t="inlineStr">
        <is>
          <t>kci_id</t>
        </is>
      </c>
      <c r="K1" t="inlineStr">
        <is>
          <t>cited_by_count</t>
        </is>
      </c>
      <c r="L1" t="inlineStr">
        <is>
          <t>cite_kci</t>
        </is>
      </c>
      <c r="M1" t="inlineStr">
        <is>
          <t>cite_wos</t>
        </is>
      </c>
      <c r="N1" t="inlineStr">
        <is>
          <t>fwci</t>
        </is>
      </c>
      <c r="O1" t="inlineStr">
        <is>
          <t>인용합</t>
        </is>
      </c>
      <c r="P1" t="inlineStr">
        <is>
          <t>구분</t>
        </is>
      </c>
    </row>
    <row r="2">
      <c r="A2" t="inlineStr">
        <is>
          <t>Exploring Trends in Research on Athletes’ Mental Health Using Keyword Network Analysis: Based on Web of Science</t>
        </is>
      </c>
      <c r="B2" t="inlineStr">
        <is>
          <t>Sihong Sui; Ziwei Liang; Wanghui Li; Juzhi Liang; Zhenbo Zhang; Bin Liu</t>
        </is>
      </c>
      <c r="C2" t="inlineStr">
        <is>
          <t>Asia Pacific Journal of Applied Sport Sciences</t>
        </is>
      </c>
      <c r="D2" t="inlineStr">
        <is>
          <t>아시아스포츠융합과학회</t>
        </is>
      </c>
      <c r="E2" t="n">
        <v>2026</v>
      </c>
      <c r="H2" t="inlineStr">
        <is>
          <t>PURPOSE This study examines core keywords in athlete mental health research, explores trends over time, and identifies interactions among sub-fields. METHOD NetMiner was used to analyze keyword co-occurrence networks based on 1,139 journal articles published from 1992 to 2024 and available in the Web of Science. Degree and betweenness centrality were used to track keyword importance and evolution. Cohesive subgroup analysis was applied to identify thematic clusters. RESULT Keywords such as "athlete," "health," "sport," "performance," "stress," "anxiety," and "intervention" remained central over 30 years, highlighting key research focuses. While early studies emphasized performance and injury, recent work has shifted toward mental health support and career development, with terms such as "support," "well-being," and "identity" emerging. Six thematic groups were identified: youth development, health risks, identity and career, rehabilitation, support systems, and physical function. CONCLUSION Keyword network analysis reveals the evolving landscape of research on athletes’ mental health. The field has expanded from performance-focused topics to a broader, interdisciplinary emphasis on psychological support and long-term well-being.</t>
        </is>
      </c>
      <c r="J2" t="inlineStr">
        <is>
          <t>ART003335881</t>
        </is>
      </c>
      <c r="L2" t="n">
        <v>0</v>
      </c>
      <c r="M2" t="n">
        <v>0</v>
      </c>
      <c r="P2" t="inlineStr">
        <is>
          <t>검증필요</t>
        </is>
      </c>
    </row>
    <row r="3">
      <c r="A3" t="inlineStr">
        <is>
          <t>e스포츠에 대한 학교체육 운영 주체의 인식*</t>
        </is>
      </c>
      <c r="B3" t="inlineStr">
        <is>
          <t>Cho, Sang Wan; Yeom, Hyo Eun; Hwang, Sung-Ha</t>
        </is>
      </c>
      <c r="C3" t="inlineStr">
        <is>
          <t>한국체육교육학회지</t>
        </is>
      </c>
      <c r="D3" t="inlineStr">
        <is>
          <t>한국체육교육학회</t>
        </is>
      </c>
      <c r="E3" t="n">
        <v>2026</v>
      </c>
      <c r="H3" t="inlineStr">
        <is>
          <t>목적: 이 연구의 목적은 학교체육 운영 주체가 인식하는 e스포츠의 의미 구조를 탐색하고, 학교체육 맥락에서 e스포츠의 교육적 수용 가능성을 분석하는 데 있다.
방법: 학교체육 운영 주체인 ‘학생’과 ‘교사’ 총 788명을 대상으로 온라인 기반 개방형 설문을 실시하여 자료를 수집하였다. 수집된 텍스트 자료는 Textom을 활용하여 표준화 및 정제 과정을 거친 후 키워드 빈도 및TF-IDF 분석을 실시하였다. 키워드 간 의미 구조를 확인하기 위해 공출현 행렬을 구성하고 연결중심성 지수를 산출하였으며, NetMiner 5.0 프로그램을 활용하여 의미연결망을 분석하였다.
결과: e스포츠에 대한 학교체육 운영 주체의 인식은 1) 긍정적 인식: ‘재미’와 ‘스포츠’가 핵심 키워드로 ‘협동심’, ‘전략’, ‘능력’ 등의 키워드와 연결되어, e스포츠를 ‘전략형 스포츠’로 인식하고 있었다. 2) 부정적 인식: ‘중독’이핵심 키워드로 ‘게임’, ‘건강’, ‘시력’, ‘학업’ 등의 키워드와 연결되어, e스포츠를 ‘일상을 위협하는 게임’으로인식하고 있었다. 3) 개선 인식: ‘장비’가 핵심 키워드로 ‘교육’, ‘교사’, ‘학생’, ‘환경’, ‘운영’ 등의 키워드와연결되어, 학교체육 활용을 위해 ‘물리적 환경 구축’과 ‘교육적 운영 체계’가 필요함을 인식하고 있었다.
결론: e스포츠의 교육적 활용은 활동 자체의 특성보다 교육 환경, 운영 체계, 지도 주체와 같은 제도적 조건에 의해 좌우된다. 따라서 e스포츠의 학교체육 수용은 교육적 의미를 어떻게 구조화하고 운영하는가에 따라그 가치가 달라진다. 이는 디지털 전환 시대 학교체육의 포용적 확장을 위한 실천적 기반을 제공할 수 있다.</t>
        </is>
      </c>
      <c r="J3" t="inlineStr">
        <is>
          <t>ART003333283</t>
        </is>
      </c>
      <c r="L3" t="n">
        <v>0</v>
      </c>
      <c r="M3" t="n">
        <v>0</v>
      </c>
      <c r="P3" t="inlineStr">
        <is>
          <t>검증필요</t>
        </is>
      </c>
    </row>
    <row r="4">
      <c r="A4" t="inlineStr">
        <is>
          <t>코비6 농구화의 소비자 인식 구조 분석: 텍스트마이닝 기반 의미연결망 및 CONCOR 분석</t>
        </is>
      </c>
      <c r="B4" t="inlineStr">
        <is>
          <t>Leehyungju</t>
        </is>
      </c>
      <c r="C4" t="inlineStr">
        <is>
          <t>융합과 통섭</t>
        </is>
      </c>
      <c r="D4" t="inlineStr">
        <is>
          <t>미래융합통섭학회</t>
        </is>
      </c>
      <c r="E4" t="n">
        <v>2026</v>
      </c>
      <c r="H4" t="inlineStr">
        <is>
          <t>연구목적 본 연구는 온라인 텍스트 데이터를 활용하여 코비6 농구화에 대한 소비자 인식 구조를 분석하는 데 목적이 있다. 구체적으로 텍스트마이닝, 의미연결망 분석 및 CONCOR 분석을 통해 코비6 농구화와 관련된 주요 키워드, 의미 관계 및 인식 군집을 살펴보고자 하였다. 연구 방법 본 연구는 2020년 1월 26일부터 2025년 12월 31일까지 네이버 블로그, 네이버 카페, 온라인 커뮤니티, 뉴스 기사에서 코비6 농구화 관련 온라인 텍스트 데이터를 수집하였다. 검색어는 ‘코비6’, ‘코비 농구화’, ‘코비 프로트로’, ‘Kobe 6’, ‘Kobe basketball shoes’ 등을 활용하였다. Textom은 자료 수집, 전처리, 키워드 빈도분석 및 N-gram 분석에 활용하였고, NetMiner는 의미연결망 분석, 연결중심성 분석 및 CONCOR 분석에 활용하였다. 중복 문서, 불용어, 관련성이 낮은 텍스트, 광고성 게시물은 분석에서 제외하였다. 결과 분석 결과, ‘코비’, ‘코비6’, ‘농구화’는 전체 네트워크에서 중심적인 키워드로 나타났다. ‘착화감’, ‘쿠셔닝’, ‘접지력’, ‘디자인’은 제품 성능 인식과 관련된 키워드로 확인되었으며, ‘리셀’, ‘가격’, ‘구매’, ‘출시’는 소비 및 시장 관련 인식을 반영하는 키워드로 나타났다. CONCOR 분석 결과, 코비6 농구화 관련 키워드는 제품 및 소비 관련 인식 군집과 제품 특성 및 성능 인식 군집으로 구분되었다. 결론 본 연구 결과, 코비6 농구화는 기능적 성능, 브랜드 상징성, 선수 이미지, 희소성 및 리셀 시장 가치가 결합된 상징적 스포츠 제품으로 인식되고 있는 것으로 나타났다. 본 연구는 특정 선수의 시그니처 농구화에 대한 온라인 소비자 인식이 제품 성능과 소비·시장 가치의 두 축을 중심으로 구조화되어 있음을 보여준다는 점에서 스포츠용품 소비 연구에 기여한다.</t>
        </is>
      </c>
      <c r="J4" t="inlineStr">
        <is>
          <t>ART003345135</t>
        </is>
      </c>
      <c r="L4" t="n">
        <v>0</v>
      </c>
      <c r="M4" t="n">
        <v>0</v>
      </c>
      <c r="P4" t="inlineStr">
        <is>
          <t>검증필요</t>
        </is>
      </c>
    </row>
    <row r="5">
      <c r="A5" t="inlineStr">
        <is>
          <t>Research Trends in Studies on Young Single-Person Households: Keyword Network Analysis and Topic Modeling Approach</t>
        </is>
      </c>
      <c r="B5" t="inlineStr">
        <is>
          <t>Jeong Moon Kyeong; Moonkyeong Jeong</t>
        </is>
      </c>
      <c r="C5" t="inlineStr">
        <is>
          <t>한국웰니스학회지</t>
        </is>
      </c>
      <c r="D5" t="inlineStr">
        <is>
          <t>한국웰니스학회</t>
        </is>
      </c>
      <c r="E5" t="n">
        <v>2026</v>
      </c>
      <c r="F5" t="inlineStr">
        <is>
          <t>10.21097/ksw.2026.5.21.2.105</t>
        </is>
      </c>
      <c r="H5" t="inlineStr">
        <is>
          <t>본 연구의 목적은 키워드 네트워크 분석과 토픽모델링을 활용하여 청년 1인가구를 주제로 한 국내 학술 연구의 동향을 체계적으로 분석하는 것이다. 이를 위해 NetMiner 4.5.1의 확장 프로그램인 Biblio Data Collector(이하 BDC)를 통해 수집한 논문 95편을 대상으로 키워드 빈도분석, 동시출현 빈도분석, 중심성 분석, 토픽모델링을 수행하였다. 연구의 결과 첫째, 빈도분석에서는 우울, 주거환경, 소득, 공유주택, 외로움 순으로 높은 빈도를 보였다. 둘째, 동시출현 빈도분석에서는 라이프스타일-삶의 만족도이 가장 높은 동시출현 빈도를 보였다. 셋째, 중심성 분석에서는 우울과 주거환경이 연결·근접·매개중심성 모두에서 1, 2위를 차지하여 연구 네트워크의 핵심 허브 역할을 담당하고 있음이 확인되었다. 넷째, 토픽모델링 분석에서는 정신건강과 심리적 특성, 일상생활과 사회적 지지, 사회적 고립과 심리적 위기, 외로움과 사회적 자원 부족, 코로나19 전후 생활 변화와 건강, 대안적 주거 환경과 주거 만족의 6개 토픽이 도출되었다. 본 연구의 결과는 청년 1인가구 후속 연구를 위한 기초자료를 제공하고, 청년 1인가구를 위한 정책 마련에 기여할 것으로 보인다.</t>
        </is>
      </c>
      <c r="I5" t="inlineStr">
        <is>
          <t>https://openalex.org/W7164363542</t>
        </is>
      </c>
      <c r="J5" t="inlineStr">
        <is>
          <t>ART003340143</t>
        </is>
      </c>
      <c r="K5" t="n">
        <v>0</v>
      </c>
      <c r="L5" t="n">
        <v>0</v>
      </c>
      <c r="M5" t="n">
        <v>0</v>
      </c>
      <c r="N5" t="n">
        <v>0</v>
      </c>
      <c r="P5" t="inlineStr">
        <is>
          <t>검증필요</t>
        </is>
      </c>
    </row>
    <row r="6">
      <c r="A6" t="inlineStr">
        <is>
          <t>Research Trends and Knowledge Structure of Children’s Oral Health: A Text Network Analysis</t>
        </is>
      </c>
      <c r="B6" t="inlineStr">
        <is>
          <t>Kim Seol Hee; Seol-Hee Kim</t>
        </is>
      </c>
      <c r="C6" t="inlineStr">
        <is>
          <t>한국건강사회융합연구</t>
        </is>
      </c>
      <c r="D6" t="inlineStr">
        <is>
          <t>웰다잉융합연구소</t>
        </is>
      </c>
      <c r="E6" t="n">
        <v>2026</v>
      </c>
      <c r="F6" t="inlineStr">
        <is>
          <t>10.64763/kc.2026.5.1.38</t>
        </is>
      </c>
      <c r="H6" t="inlineStr">
        <is>
          <t>본 연구는 최근 10년간 국내 아동 구강건강 관련 연구를 대상으로 텍스트 네트워크 분석을 수행하여 주요 연구 주제와 지식 구조를 규명하고자 하였다. 연구대상은 학술연구정보서비스에서 아동과 구강을 검색어로 하여 최근 10년, KCI 등재, 한국어, 원문 제공 조건을 충족하는 44편의 논문이다. 수집된 논문의 키워드를 정제한 후 NetMiner 4 프로그램을 활용하여 키워드 빈도분석, 연결중심성 분석, 네트워크 군집분석을 수행하였다. 연구결과, 키워드 빈도분석에서는 아동, 구강건강이 가장 높은 빈도로 나타났고, 구강건강조사, 치아우식증, 칫솔질, 구강운동기능 등이 주요 키워드로 확인되었다. 연결중심성 분석에서는 아동, 구강건강, 치아우식증, 구강건강행동, 부모가 핵심 노드로 나타나 아동 구강건강 연구가 질병, 행동, 보호자 요인을 중심으로 전개되고 있음을 확인하였다. 군집분석 결과, 연구 주제는 치아우식증 및 구강질환, 구강건강행동 및 부모 요인, 장애 아동 구강기능·중재, 구강보건교육 예방·관리의 네 가지 영역으로 구조화되었다. 한편 디지털 헬스케어 및 인공지능 관련 키워드는 주요 네트워크에서 명확하게 확인되지 않아 해당 분야 연구가 제한적인 것으로 확인되었다. 본 연구는 국내 아동 구강건강 연구의 지식구조를 체계적으로 제시하고, 분석 결과를 기반으로 인공지능 기반 구강관리 전략의 적용 방향을 제언하였다는 점에 의의가 있다.</t>
        </is>
      </c>
      <c r="I6" t="inlineStr">
        <is>
          <t>https://openalex.org/W7163039799</t>
        </is>
      </c>
      <c r="J6" t="inlineStr">
        <is>
          <t>ART003339594</t>
        </is>
      </c>
      <c r="K6" t="n">
        <v>0</v>
      </c>
      <c r="L6" t="n">
        <v>0</v>
      </c>
      <c r="M6" t="n">
        <v>0</v>
      </c>
      <c r="N6" t="n">
        <v>0</v>
      </c>
      <c r="P6" t="inlineStr">
        <is>
          <t>검증필요</t>
        </is>
      </c>
    </row>
    <row r="7">
      <c r="A7" t="inlineStr">
        <is>
          <t>Text Mining-Based Structural Analysis of Teaching Practicum Experiences: Relationships, Instruction, and Reflection</t>
        </is>
      </c>
      <c r="B7" t="inlineStr">
        <is>
          <t>Eun-Young; Eun-Young Son; J. H. Lee; Jin-Yung; Lee; Son</t>
        </is>
      </c>
      <c r="C7" t="inlineStr">
        <is>
          <t>교원교육</t>
        </is>
      </c>
      <c r="D7" t="inlineStr">
        <is>
          <t>교육연구원</t>
        </is>
      </c>
      <c r="E7" t="n">
        <v>2026</v>
      </c>
      <c r="F7" t="inlineStr">
        <is>
          <t>10.14333/kjte.2026.42.3.31</t>
        </is>
      </c>
      <c r="H7" t="inlineStr">
        <is>
          <t>연구목적: 본 연구는 중등예비 교사들의 교육실습 성찰 에세이를 텍스트마이닝 기법으로 분석하여 예비 교사의 경험과 정서, 그리고 의미구조를 체계적으로 도출하고자 하였다.
연구방법: 이를 위해 2022년부터 2025년까지 중학교와 고등학교에서 교육실습에 참여한 예비 교사 180명의 성찰 에세이를 수집하고, NetMiner 4.5를 활용하여 키워드 네트워크 분석과 토픽모델링을 수행하였으며, RStudio 4.4.3을 활용하여 토픽모델링 결과를 보완⋅검증하였다.
연구결과: 분석결과, ‘경험’을 중심으로 교육실습과 관련된 ‘불안, 참관, 교과’ 등의 키워드가 도출되었고, 실습과정에서 경험하는 ‘관계, 지도, 계획, 노력’ 등의 핵심 키워드가 도출되었다. PFnet 분석에서는 ‘경험’, ‘불안’, ‘참관’, ‘관계’, ‘고민’이 중심 개념으로 나타났다. 연결중심성과 근접중심성 분석 결과, ‘경험’을 중심으로 다양한 활동과 상호작용이 이루어지며 긍정적 정서와 성장 가능성, 그리고 인식의 변화가 나타났다. 토픽모델링 분석을 통해 교육실습 경험은 수업참여 및 학습 경험, 교직경험과 진로 인식, 상담 및 관계 형성의 어려움, 학급 운영과 수업 불안의 네 가지 주제로 나타났다.
결론: 본 연구는 예비 교사의 교육실습 경험을 데이터 기반으로 분석하여 그 의미 구조를 체계적으로 탐색하고, 교육과정 개선과 현장 연계 강화, 상담적 지원을 위한 기초자료를 제공하였다는 점에 의의가 있다.</t>
        </is>
      </c>
      <c r="I7" t="inlineStr">
        <is>
          <t>https://openalex.org/W7163918344</t>
        </is>
      </c>
      <c r="J7" t="inlineStr">
        <is>
          <t>ART003340926</t>
        </is>
      </c>
      <c r="K7" t="n">
        <v>0</v>
      </c>
      <c r="L7" t="n">
        <v>0</v>
      </c>
      <c r="M7" t="n">
        <v>0</v>
      </c>
      <c r="N7" t="n">
        <v>0</v>
      </c>
      <c r="P7" t="inlineStr">
        <is>
          <t>검증필요</t>
        </is>
      </c>
    </row>
    <row r="8">
      <c r="A8" t="inlineStr">
        <is>
          <t>Analysis of elder abuse-related news articles using BIGKinds and topic modeling</t>
        </is>
      </c>
      <c r="B8" t="inlineStr">
        <is>
          <t>Youngji Kim</t>
        </is>
      </c>
      <c r="C8" t="inlineStr">
        <is>
          <t>The Journal of Korean Academic Society of Nursing Education</t>
        </is>
      </c>
      <c r="E8" t="n">
        <v>2026</v>
      </c>
      <c r="F8" t="inlineStr">
        <is>
          <t>10.5977/jkasne.2026.32.2.208</t>
        </is>
      </c>
      <c r="H8" t="inlineStr">
        <is>
          <t>Purpose: This study analyzed the dominant themes and media frames in Korean newspaper coverage of elder abuse to examine how such representations shape social discourse, with implications for nursing practice, education, and policy.Methods: A total of 812 articles published between January 2021 and December 2025 were collected from 12 national daily newspapers using the BIGKinds. Keyword trends, semantic networks, and related-word analyses were conducted, and latent Dirichlet allocation topic modeling was applied to identify latent thematic structures.Results: Six major topics were identified: (1) violence in long-term care facilities; (2) abuse reporting and protective agency responses; (3) prevention and human rights protection; (4) criminal investigations based on video evidence; (5) operational and management issues in long-term care facilities; and (6) crimes targeting older adults. News coverage peaked in 2021~2022 during the COVID-19 pandemic and concentrated on “Elder Abuse Prevention Day” in June. Reporting remained reactive and event-driven, with limited attention being paid to structural causes and preventive approaches.Conclusion: Korean elder abuse coverage prioritizes punitive, post-incident responses over prevention, reducing complex social issues to individual deviance. A shift toward structural and preventive media framing is needed, along with integrated protection systems. Nurses, as frontline professionals in early detection and advocacy, should be supported through nursing education focused on abuse recognition, simulation-based training, and multidisciplinary collaboration.</t>
        </is>
      </c>
      <c r="I8" t="inlineStr">
        <is>
          <t>https://openalex.org/W7163060697</t>
        </is>
      </c>
      <c r="K8" t="n">
        <v>0</v>
      </c>
      <c r="N8" t="n">
        <v>0</v>
      </c>
      <c r="P8" t="inlineStr">
        <is>
          <t>검증필요</t>
        </is>
      </c>
    </row>
    <row r="9">
      <c r="A9" t="inlineStr">
        <is>
          <t>Cross-Source Reasoning-based Correction for Author Name Disambiguation</t>
        </is>
      </c>
      <c r="B9" t="inlineStr">
        <is>
          <t>Fanjin Zhang; Yunhe Pang; Bo Chen; Zhiyu Shen; Yanghui Rao; Evgeny Kharlamov; Jie Tang</t>
        </is>
      </c>
      <c r="C9" t="inlineStr">
        <is>
          <t>arXiv (Cornell University)</t>
        </is>
      </c>
      <c r="D9" t="inlineStr">
        <is>
          <t>Cornell University</t>
        </is>
      </c>
      <c r="E9" t="n">
        <v>2026</v>
      </c>
      <c r="F9" t="inlineStr">
        <is>
          <t>10.1145/3770855.3818347</t>
        </is>
      </c>
      <c r="H9" t="inlineStr">
        <is>
          <t>Author name disambiguation is a critical challenge in academic search systems, often addressed through from-scratch and real-time disambiguation approaches. However, current algorithms remain vulnerable to cumulative errors of paper-author assignments and overlook inconsistent assignments across different sources. Resorting to expert annotation is resource-intensive. To this end, this paper explores a new perspective for author name disambiguation: cross-source correction by leveraging inconsistent assignments across sources. We propose CrossND, a full-stack framework that integrates data refinement, cross-source reasoning, and test-time scaling. First, a chain-of-refinement pipeline denoises author profiles and produces more accurate paper-author matching probabilities. Second, a supervised fine-tuning process incorporates these refined signals and a probabilistic soft logic-based cross-correction module to infer the assignments of which sources are incorrect. Third, test-time scaling further enhances the accuracy and robustness of the predictions. Experiments on real-world datasets indicate that CrossND consistently outperforms 17 baselines by leveraging cross-source reasoning without human intervention.</t>
        </is>
      </c>
      <c r="I9" t="inlineStr">
        <is>
          <t>https://openalex.org/W7164176578</t>
        </is>
      </c>
      <c r="K9" t="n">
        <v>0</v>
      </c>
      <c r="N9" t="n">
        <v>0</v>
      </c>
      <c r="P9" t="inlineStr">
        <is>
          <t>검증필요</t>
        </is>
      </c>
    </row>
    <row r="10">
      <c r="A10" t="inlineStr">
        <is>
          <t>Personalized Deep Research: A User-Centric Framework, Dataset, and Hybrid Evaluation for Knowledge Discovery</t>
        </is>
      </c>
      <c r="B10" t="inlineStr">
        <is>
          <t>Xiaopeng Li; Wenlin Zhang; Yingyi Zhang; Pengyue Jia; Yejing Wang; Yichao Wang; Yong Liu; Huifeng Guo; Xiangyu Zhao</t>
        </is>
      </c>
      <c r="C10" t="inlineStr">
        <is>
          <t>ArXiv.org</t>
        </is>
      </c>
      <c r="E10" t="n">
        <v>2026</v>
      </c>
      <c r="H10" t="inlineStr">
        <is>
          <t>Deep Research agents driven by LLMs have automated the scholarly discovery pipeline, from planning and query formulation to iterative web exploration. Yet they remain constrained by a static, ``one-size-fits-all'' retrieval paradigm. Current systems fail to adaptively adjust the depth and breadth of exploration based on the user's existing expertise or latent interests, frequently resulting in reports that are either redundant for experts or overly dense for novices. To address this, we introduce Personalized Deep Research (PDR), a framework that integrates dynamic user context into the core retrieval-reasoning loop. Rather than treating personalization as a post-hoc formatting step, PDR unifies user profile modeling with iterative query development, dual-stage (private/public) retrieval, and context-aware synthesis. This allows the system to autonomously align research sub-goals with user intent and optimize the stopping criteria for evidence collection. To facilitate benchmarking, we release the PDR Dataset, covering four realistic user tasks, and propose a hybrid evaluation framework combining lexical metrics with LLM-based judgments to assess factual accuracy and personalization alignment. Experimental results against commercial baselines demonstrate that PDR significantly improves retrieval utility and report relevance, effectively bridging the gap between generic information retrieval and personalized knowledge acquisition. The resource is available to the public at https://github.com/Applied-Machine-Learning-Lab/SIGIR2026_PDR.</t>
        </is>
      </c>
      <c r="I10" t="inlineStr">
        <is>
          <t>https://openalex.org/W7161089844</t>
        </is>
      </c>
      <c r="K10" t="n">
        <v>0</v>
      </c>
      <c r="N10" t="n">
        <v>0</v>
      </c>
      <c r="P10" t="inlineStr">
        <is>
          <t>검증필요</t>
        </is>
      </c>
    </row>
    <row r="11">
      <c r="A11" t="inlineStr">
        <is>
          <t>Text Network Analysis of Global Literature on Self-Management of Low Back Pain</t>
        </is>
      </c>
      <c r="B11" t="inlineStr">
        <is>
          <t>Jinkyung Park; Wonjung Noh; Kyounghae Kim</t>
        </is>
      </c>
      <c r="C11" t="inlineStr">
        <is>
          <t>Pain Management Nursing</t>
        </is>
      </c>
      <c r="D11" t="inlineStr">
        <is>
          <t>Elsevier BV</t>
        </is>
      </c>
      <c r="E11" t="n">
        <v>2026</v>
      </c>
      <c r="F11" t="inlineStr">
        <is>
          <t>10.1016/j.pmn.2026.04.013</t>
        </is>
      </c>
      <c r="H11" t="inlineStr">
        <is>
          <t>(초록 없음)</t>
        </is>
      </c>
      <c r="I11" t="inlineStr">
        <is>
          <t>https://openalex.org/W7162462111</t>
        </is>
      </c>
      <c r="K11" t="n">
        <v>0</v>
      </c>
      <c r="N11" t="n">
        <v>0</v>
      </c>
      <c r="P11" t="inlineStr">
        <is>
          <t>검증필요</t>
        </is>
      </c>
    </row>
    <row r="12">
      <c r="A12" t="inlineStr">
        <is>
          <t>Thematic structure of clinically oriented prefrontal function assessment and intervention research: a keyword network analysis</t>
        </is>
      </c>
      <c r="B12" t="inlineStr">
        <is>
          <t>Jin Seok Oh; Jong-Gab Ho; Jin‐Hyuck Park</t>
        </is>
      </c>
      <c r="C12" t="inlineStr">
        <is>
          <t>BMC Psychiatry</t>
        </is>
      </c>
      <c r="D12" t="inlineStr">
        <is>
          <t>BioMed Central</t>
        </is>
      </c>
      <c r="E12" t="n">
        <v>2026</v>
      </c>
      <c r="F12" t="inlineStr">
        <is>
          <t>10.1186/s12888-026-08277-6</t>
        </is>
      </c>
      <c r="H12" t="inlineStr">
        <is>
          <t>BACKGROUND: The prefrontal cortex (PFC) has been extensively investigated in relation to higher-order cognition, emotional regulation, and behavioural control, particularly within clinically oriented studies addressing psychiatric symptoms, self-regulation, and intervention outcomes. Although a growing body of literature has examined prefrontal function assessment and intervention, the thematic organization and structural interconnections within this clinically focused literature have not been sufficiently clarified. Mapping these conceptual relationships may help identify dominant research concentrations and underrepresented areas within the retrieved literature. METHODS: A total of 1,301 peer-reviewed articles published between January 2014 and December 2024 were retrieved from Web of Science, PubMed, and Embase. After keyword extraction and standardization, the top 52 high-frequency terms were analyzed using NetMiner 4.0. Network indices including density, inclusiveness, and average path length were calculated, together with degree and betweenness centrality. Cohesive subgroup analysis was additionally performed to identify thematic clusters within the keyword network. RESULTS: The keyword network demonstrated a density of 0.408, inclusiveness of 1.0, and an average distance of 1.621, indicating a highly connected structure without isolated nodes. Central hubs included Cognition, Depressive disorders, Randomized controlled trial, Cognitive behavioural therapy, and Psychotherapy, which emerged as the principal structural hubs, suggesting that the retrieved literature was strongly concentrated on standardized cognitive assessment and clinically applied intervention frameworks. Mobile health, E-health intervention, and Chronic illness group also showed substantial structural influence. Cohesive subgroup analysis identified seven differentiated thematic clusters spanning cognitive rehabilitation, emotional regulation, psychotherapy, digital self-management, mindfulness-based executive support, stress resilience, and neurocognitive motivation. CONCLUSIONS: The retrieved literature analyzed in this study exhibited a strongly interconnected thematic structure centered on clinically oriented assessment and intervention domains. Because direct neuroimaging and neurophysiological modalities were comparatively less represented in the retrieved dataset, the present findings should be interpreted as a structural mapping of clinically weighted prefrontal function research rather than a comprehensive representation of the entire methodological landscape. Nevertheless, this network-based analysis provides a systematic overview of current thematic concentrations and offers a useful foundation for future comparative and longitudinal investigations. CLINICAL TRIAL NUMBER: Not applicable.</t>
        </is>
      </c>
      <c r="I12" t="inlineStr">
        <is>
          <t>https://openalex.org/W7164572335</t>
        </is>
      </c>
      <c r="K12" t="n">
        <v>0</v>
      </c>
      <c r="N12" t="n">
        <v>0</v>
      </c>
      <c r="P12" t="inlineStr">
        <is>
          <t>검증필요</t>
        </is>
      </c>
    </row>
    <row r="13">
      <c r="A13" t="inlineStr">
        <is>
          <t>A Study of Factors Influencing Happiness in Korea: Topic Modelling and Neural Network Analysis</t>
        </is>
      </c>
      <c r="B13" t="inlineStr">
        <is>
          <t>Ji-Hyun Jang</t>
        </is>
      </c>
      <c r="P13" t="inlineStr">
        <is>
          <t>검증필요</t>
        </is>
      </c>
    </row>
    <row r="14">
      <c r="A14" t="inlineStr">
        <is>
          <t>A Systematic Literature Review of Sustainable Packaging in Supply Chain Management</t>
        </is>
      </c>
      <c r="B14" t="inlineStr">
        <is>
          <t>Jonathan Asher Morashti, Youra An and Hyunmi Jang</t>
        </is>
      </c>
      <c r="P14" t="inlineStr">
        <is>
          <t>검증필요</t>
        </is>
      </c>
    </row>
    <row r="15">
      <c r="A15" t="inlineStr">
        <is>
          <t>Digital Health Care Industry Ecosystem Network Analysis</t>
        </is>
      </c>
      <c r="B15" t="inlineStr">
        <is>
          <t>Unknown</t>
        </is>
      </c>
      <c r="P15" t="inlineStr">
        <is>
          <t>검증필요</t>
        </is>
      </c>
    </row>
    <row r="16">
      <c r="A16" t="inlineStr">
        <is>
          <t>The Impact of Social Network Characteristics on Health among Community-Dwelling Older Adults in Korea: Application of Social Network Analysis</t>
        </is>
      </c>
      <c r="B16" t="inlineStr">
        <is>
          <t>Byoung-Jin Jeon and Kang-Hyun Park</t>
        </is>
      </c>
      <c r="P16" t="inlineStr">
        <is>
          <t>검증필요</t>
        </is>
      </c>
    </row>
    <row r="17">
      <c r="A17" t="inlineStr">
        <is>
          <t>의미연결망과 토픽모델링을 활용한 광고홍보학 분야의 CSR 연구동향 분석(2003~2020)</t>
        </is>
      </c>
      <c r="B17" t="inlineStr">
        <is>
          <t>http://earticle.net (주)학술교육원</t>
        </is>
      </c>
      <c r="P17" t="inlineStr">
        <is>
          <t>검증필요</t>
        </is>
      </c>
    </row>
    <row r="67" ht="39" customHeight="1"/>
    <row r="451" ht="82.5" customHeight="1"/>
    <row r="481" ht="18" customHeight="1"/>
  </sheetData>
  <autoFilter ref="A1:F675">
    <sortState ref="A2:F675">
      <sortCondition descending="1" ref="E1:E675"/>
    </sortState>
  </autoFilter>
  <conditionalFormatting sqref="A1:A541 A676:A1048576">
    <cfRule type="duplicateValues" priority="1" dxfId="0"/>
  </conditionalFormatting>
  <pageMargins left="0.75" right="0.75" top="1" bottom="1" header="0.5" footer="0.5"/>
  <pageSetup orientation="portrait" paperSize="9" verticalDpi="0"/>
</worksheet>
</file>

<file path=xl/worksheets/sheet2.xml><?xml version="1.0" encoding="utf-8"?>
<worksheet xmlns="http://schemas.openxmlformats.org/spreadsheetml/2006/main">
  <sheetPr>
    <outlinePr summaryBelow="1" summaryRight="1"/>
    <pageSetUpPr/>
  </sheetPr>
  <dimension ref="A1:BW93"/>
  <sheetViews>
    <sheetView zoomScale="70" zoomScaleNormal="70" workbookViewId="0">
      <pane ySplit="1" topLeftCell="A80" activePane="bottomLeft" state="frozen"/>
      <selection pane="bottomLeft" activeCell="I2" sqref="I2:I93"/>
    </sheetView>
  </sheetViews>
  <sheetFormatPr baseColWidth="8" defaultRowHeight="16.5"/>
  <cols>
    <col width="28.125" customWidth="1" min="1" max="1"/>
    <col width="16.375" customWidth="1" min="2" max="2"/>
    <col hidden="1" width="13" customWidth="1" min="3" max="5"/>
    <col width="16.75" customWidth="1" min="6" max="6"/>
    <col hidden="1" width="13" customWidth="1" min="7" max="8"/>
    <col width="87.125" customWidth="1" min="9" max="9"/>
    <col width="26.625" customWidth="1" min="10" max="10"/>
    <col hidden="1" width="13" customWidth="1" min="11" max="12"/>
    <col hidden="1" width="13" customWidth="1" min="15" max="21"/>
    <col hidden="1" width="13" customWidth="1" min="27" max="32"/>
    <col hidden="1" width="13" customWidth="1" min="36" max="45"/>
    <col hidden="1" width="13" customWidth="1" min="48" max="55"/>
    <col hidden="1" width="13" customWidth="1" min="61" max="67"/>
    <col width="28.125" customWidth="1" min="257" max="257"/>
    <col width="16.375" customWidth="1" min="258" max="258"/>
    <col width="16.75" customWidth="1" min="262" max="262"/>
    <col width="87.125" customWidth="1" min="265" max="265"/>
    <col width="26.625" customWidth="1" min="266" max="266"/>
    <col width="28.125" customWidth="1" min="513" max="513"/>
    <col width="16.375" customWidth="1" min="514" max="514"/>
    <col width="16.75" customWidth="1" min="518" max="518"/>
    <col width="87.125" customWidth="1" min="521" max="521"/>
    <col width="26.625" customWidth="1" min="522" max="522"/>
    <col width="28.125" customWidth="1" min="769" max="769"/>
    <col width="16.375" customWidth="1" min="770" max="770"/>
    <col width="16.75" customWidth="1" min="774" max="774"/>
    <col width="87.125" customWidth="1" min="777" max="777"/>
    <col width="26.625" customWidth="1" min="778" max="778"/>
    <col width="28.125" customWidth="1" min="1025" max="1025"/>
    <col width="16.375" customWidth="1" min="1026" max="1026"/>
    <col width="16.75" customWidth="1" min="1030" max="1030"/>
    <col width="87.125" customWidth="1" min="1033" max="1033"/>
    <col width="26.625" customWidth="1" min="1034" max="1034"/>
    <col width="28.125" customWidth="1" min="1281" max="1281"/>
    <col width="16.375" customWidth="1" min="1282" max="1282"/>
    <col width="16.75" customWidth="1" min="1286" max="1286"/>
    <col width="87.125" customWidth="1" min="1289" max="1289"/>
    <col width="26.625" customWidth="1" min="1290" max="1290"/>
    <col width="28.125" customWidth="1" min="1537" max="1537"/>
    <col width="16.375" customWidth="1" min="1538" max="1538"/>
    <col width="16.75" customWidth="1" min="1542" max="1542"/>
    <col width="87.125" customWidth="1" min="1545" max="1545"/>
    <col width="26.625" customWidth="1" min="1546" max="1546"/>
    <col width="28.125" customWidth="1" min="1793" max="1793"/>
    <col width="16.375" customWidth="1" min="1794" max="1794"/>
    <col width="16.75" customWidth="1" min="1798" max="1798"/>
    <col width="87.125" customWidth="1" min="1801" max="1801"/>
    <col width="26.625" customWidth="1" min="1802" max="1802"/>
    <col width="28.125" customWidth="1" min="2049" max="2049"/>
    <col width="16.375" customWidth="1" min="2050" max="2050"/>
    <col width="16.75" customWidth="1" min="2054" max="2054"/>
    <col width="87.125" customWidth="1" min="2057" max="2057"/>
    <col width="26.625" customWidth="1" min="2058" max="2058"/>
    <col width="28.125" customWidth="1" min="2305" max="2305"/>
    <col width="16.375" customWidth="1" min="2306" max="2306"/>
    <col width="16.75" customWidth="1" min="2310" max="2310"/>
    <col width="87.125" customWidth="1" min="2313" max="2313"/>
    <col width="26.625" customWidth="1" min="2314" max="2314"/>
    <col width="28.125" customWidth="1" min="2561" max="2561"/>
    <col width="16.375" customWidth="1" min="2562" max="2562"/>
    <col width="16.75" customWidth="1" min="2566" max="2566"/>
    <col width="87.125" customWidth="1" min="2569" max="2569"/>
    <col width="26.625" customWidth="1" min="2570" max="2570"/>
    <col width="28.125" customWidth="1" min="2817" max="2817"/>
    <col width="16.375" customWidth="1" min="2818" max="2818"/>
    <col width="16.75" customWidth="1" min="2822" max="2822"/>
    <col width="87.125" customWidth="1" min="2825" max="2825"/>
    <col width="26.625" customWidth="1" min="2826" max="2826"/>
    <col width="28.125" customWidth="1" min="3073" max="3073"/>
    <col width="16.375" customWidth="1" min="3074" max="3074"/>
    <col width="16.75" customWidth="1" min="3078" max="3078"/>
    <col width="87.125" customWidth="1" min="3081" max="3081"/>
    <col width="26.625" customWidth="1" min="3082" max="3082"/>
    <col width="28.125" customWidth="1" min="3329" max="3329"/>
    <col width="16.375" customWidth="1" min="3330" max="3330"/>
    <col width="16.75" customWidth="1" min="3334" max="3334"/>
    <col width="87.125" customWidth="1" min="3337" max="3337"/>
    <col width="26.625" customWidth="1" min="3338" max="3338"/>
    <col width="28.125" customWidth="1" min="3585" max="3585"/>
    <col width="16.375" customWidth="1" min="3586" max="3586"/>
    <col width="16.75" customWidth="1" min="3590" max="3590"/>
    <col width="87.125" customWidth="1" min="3593" max="3593"/>
    <col width="26.625" customWidth="1" min="3594" max="3594"/>
    <col width="28.125" customWidth="1" min="3841" max="3841"/>
    <col width="16.375" customWidth="1" min="3842" max="3842"/>
    <col width="16.75" customWidth="1" min="3846" max="3846"/>
    <col width="87.125" customWidth="1" min="3849" max="3849"/>
    <col width="26.625" customWidth="1" min="3850" max="3850"/>
    <col width="28.125" customWidth="1" min="4097" max="4097"/>
    <col width="16.375" customWidth="1" min="4098" max="4098"/>
    <col width="16.75" customWidth="1" min="4102" max="4102"/>
    <col width="87.125" customWidth="1" min="4105" max="4105"/>
    <col width="26.625" customWidth="1" min="4106" max="4106"/>
    <col width="28.125" customWidth="1" min="4353" max="4353"/>
    <col width="16.375" customWidth="1" min="4354" max="4354"/>
    <col width="16.75" customWidth="1" min="4358" max="4358"/>
    <col width="87.125" customWidth="1" min="4361" max="4361"/>
    <col width="26.625" customWidth="1" min="4362" max="4362"/>
    <col width="28.125" customWidth="1" min="4609" max="4609"/>
    <col width="16.375" customWidth="1" min="4610" max="4610"/>
    <col width="16.75" customWidth="1" min="4614" max="4614"/>
    <col width="87.125" customWidth="1" min="4617" max="4617"/>
    <col width="26.625" customWidth="1" min="4618" max="4618"/>
    <col width="28.125" customWidth="1" min="4865" max="4865"/>
    <col width="16.375" customWidth="1" min="4866" max="4866"/>
    <col width="16.75" customWidth="1" min="4870" max="4870"/>
    <col width="87.125" customWidth="1" min="4873" max="4873"/>
    <col width="26.625" customWidth="1" min="4874" max="4874"/>
    <col width="28.125" customWidth="1" min="5121" max="5121"/>
    <col width="16.375" customWidth="1" min="5122" max="5122"/>
    <col width="16.75" customWidth="1" min="5126" max="5126"/>
    <col width="87.125" customWidth="1" min="5129" max="5129"/>
    <col width="26.625" customWidth="1" min="5130" max="5130"/>
    <col width="28.125" customWidth="1" min="5377" max="5377"/>
    <col width="16.375" customWidth="1" min="5378" max="5378"/>
    <col width="16.75" customWidth="1" min="5382" max="5382"/>
    <col width="87.125" customWidth="1" min="5385" max="5385"/>
    <col width="26.625" customWidth="1" min="5386" max="5386"/>
    <col width="28.125" customWidth="1" min="5633" max="5633"/>
    <col width="16.375" customWidth="1" min="5634" max="5634"/>
    <col width="16.75" customWidth="1" min="5638" max="5638"/>
    <col width="87.125" customWidth="1" min="5641" max="5641"/>
    <col width="26.625" customWidth="1" min="5642" max="5642"/>
    <col width="28.125" customWidth="1" min="5889" max="5889"/>
    <col width="16.375" customWidth="1" min="5890" max="5890"/>
    <col width="16.75" customWidth="1" min="5894" max="5894"/>
    <col width="87.125" customWidth="1" min="5897" max="5897"/>
    <col width="26.625" customWidth="1" min="5898" max="5898"/>
    <col width="28.125" customWidth="1" min="6145" max="6145"/>
    <col width="16.375" customWidth="1" min="6146" max="6146"/>
    <col width="16.75" customWidth="1" min="6150" max="6150"/>
    <col width="87.125" customWidth="1" min="6153" max="6153"/>
    <col width="26.625" customWidth="1" min="6154" max="6154"/>
    <col width="28.125" customWidth="1" min="6401" max="6401"/>
    <col width="16.375" customWidth="1" min="6402" max="6402"/>
    <col width="16.75" customWidth="1" min="6406" max="6406"/>
    <col width="87.125" customWidth="1" min="6409" max="6409"/>
    <col width="26.625" customWidth="1" min="6410" max="6410"/>
    <col width="28.125" customWidth="1" min="6657" max="6657"/>
    <col width="16.375" customWidth="1" min="6658" max="6658"/>
    <col width="16.75" customWidth="1" min="6662" max="6662"/>
    <col width="87.125" customWidth="1" min="6665" max="6665"/>
    <col width="26.625" customWidth="1" min="6666" max="6666"/>
    <col width="28.125" customWidth="1" min="6913" max="6913"/>
    <col width="16.375" customWidth="1" min="6914" max="6914"/>
    <col width="16.75" customWidth="1" min="6918" max="6918"/>
    <col width="87.125" customWidth="1" min="6921" max="6921"/>
    <col width="26.625" customWidth="1" min="6922" max="6922"/>
    <col width="28.125" customWidth="1" min="7169" max="7169"/>
    <col width="16.375" customWidth="1" min="7170" max="7170"/>
    <col width="16.75" customWidth="1" min="7174" max="7174"/>
    <col width="87.125" customWidth="1" min="7177" max="7177"/>
    <col width="26.625" customWidth="1" min="7178" max="7178"/>
    <col width="28.125" customWidth="1" min="7425" max="7425"/>
    <col width="16.375" customWidth="1" min="7426" max="7426"/>
    <col width="16.75" customWidth="1" min="7430" max="7430"/>
    <col width="87.125" customWidth="1" min="7433" max="7433"/>
    <col width="26.625" customWidth="1" min="7434" max="7434"/>
    <col width="28.125" customWidth="1" min="7681" max="7681"/>
    <col width="16.375" customWidth="1" min="7682" max="7682"/>
    <col width="16.75" customWidth="1" min="7686" max="7686"/>
    <col width="87.125" customWidth="1" min="7689" max="7689"/>
    <col width="26.625" customWidth="1" min="7690" max="7690"/>
    <col width="28.125" customWidth="1" min="7937" max="7937"/>
    <col width="16.375" customWidth="1" min="7938" max="7938"/>
    <col width="16.75" customWidth="1" min="7942" max="7942"/>
    <col width="87.125" customWidth="1" min="7945" max="7945"/>
    <col width="26.625" customWidth="1" min="7946" max="7946"/>
    <col width="28.125" customWidth="1" min="8193" max="8193"/>
    <col width="16.375" customWidth="1" min="8194" max="8194"/>
    <col width="16.75" customWidth="1" min="8198" max="8198"/>
    <col width="87.125" customWidth="1" min="8201" max="8201"/>
    <col width="26.625" customWidth="1" min="8202" max="8202"/>
    <col width="28.125" customWidth="1" min="8449" max="8449"/>
    <col width="16.375" customWidth="1" min="8450" max="8450"/>
    <col width="16.75" customWidth="1" min="8454" max="8454"/>
    <col width="87.125" customWidth="1" min="8457" max="8457"/>
    <col width="26.625" customWidth="1" min="8458" max="8458"/>
    <col width="28.125" customWidth="1" min="8705" max="8705"/>
    <col width="16.375" customWidth="1" min="8706" max="8706"/>
    <col width="16.75" customWidth="1" min="8710" max="8710"/>
    <col width="87.125" customWidth="1" min="8713" max="8713"/>
    <col width="26.625" customWidth="1" min="8714" max="8714"/>
    <col width="28.125" customWidth="1" min="8961" max="8961"/>
    <col width="16.375" customWidth="1" min="8962" max="8962"/>
    <col width="16.75" customWidth="1" min="8966" max="8966"/>
    <col width="87.125" customWidth="1" min="8969" max="8969"/>
    <col width="26.625" customWidth="1" min="8970" max="8970"/>
    <col width="28.125" customWidth="1" min="9217" max="9217"/>
    <col width="16.375" customWidth="1" min="9218" max="9218"/>
    <col width="16.75" customWidth="1" min="9222" max="9222"/>
    <col width="87.125" customWidth="1" min="9225" max="9225"/>
    <col width="26.625" customWidth="1" min="9226" max="9226"/>
    <col width="28.125" customWidth="1" min="9473" max="9473"/>
    <col width="16.375" customWidth="1" min="9474" max="9474"/>
    <col width="16.75" customWidth="1" min="9478" max="9478"/>
    <col width="87.125" customWidth="1" min="9481" max="9481"/>
    <col width="26.625" customWidth="1" min="9482" max="9482"/>
    <col width="28.125" customWidth="1" min="9729" max="9729"/>
    <col width="16.375" customWidth="1" min="9730" max="9730"/>
    <col width="16.75" customWidth="1" min="9734" max="9734"/>
    <col width="87.125" customWidth="1" min="9737" max="9737"/>
    <col width="26.625" customWidth="1" min="9738" max="9738"/>
    <col width="28.125" customWidth="1" min="9985" max="9985"/>
    <col width="16.375" customWidth="1" min="9986" max="9986"/>
    <col width="16.75" customWidth="1" min="9990" max="9990"/>
    <col width="87.125" customWidth="1" min="9993" max="9993"/>
    <col width="26.625" customWidth="1" min="9994" max="9994"/>
    <col width="28.125" customWidth="1" min="10241" max="10241"/>
    <col width="16.375" customWidth="1" min="10242" max="10242"/>
    <col width="16.75" customWidth="1" min="10246" max="10246"/>
    <col width="87.125" customWidth="1" min="10249" max="10249"/>
    <col width="26.625" customWidth="1" min="10250" max="10250"/>
    <col width="28.125" customWidth="1" min="10497" max="10497"/>
    <col width="16.375" customWidth="1" min="10498" max="10498"/>
    <col width="16.75" customWidth="1" min="10502" max="10502"/>
    <col width="87.125" customWidth="1" min="10505" max="10505"/>
    <col width="26.625" customWidth="1" min="10506" max="10506"/>
    <col width="28.125" customWidth="1" min="10753" max="10753"/>
    <col width="16.375" customWidth="1" min="10754" max="10754"/>
    <col width="16.75" customWidth="1" min="10758" max="10758"/>
    <col width="87.125" customWidth="1" min="10761" max="10761"/>
    <col width="26.625" customWidth="1" min="10762" max="10762"/>
    <col width="28.125" customWidth="1" min="11009" max="11009"/>
    <col width="16.375" customWidth="1" min="11010" max="11010"/>
    <col width="16.75" customWidth="1" min="11014" max="11014"/>
    <col width="87.125" customWidth="1" min="11017" max="11017"/>
    <col width="26.625" customWidth="1" min="11018" max="11018"/>
    <col width="28.125" customWidth="1" min="11265" max="11265"/>
    <col width="16.375" customWidth="1" min="11266" max="11266"/>
    <col width="16.75" customWidth="1" min="11270" max="11270"/>
    <col width="87.125" customWidth="1" min="11273" max="11273"/>
    <col width="26.625" customWidth="1" min="11274" max="11274"/>
    <col width="28.125" customWidth="1" min="11521" max="11521"/>
    <col width="16.375" customWidth="1" min="11522" max="11522"/>
    <col width="16.75" customWidth="1" min="11526" max="11526"/>
    <col width="87.125" customWidth="1" min="11529" max="11529"/>
    <col width="26.625" customWidth="1" min="11530" max="11530"/>
    <col width="28.125" customWidth="1" min="11777" max="11777"/>
    <col width="16.375" customWidth="1" min="11778" max="11778"/>
    <col width="16.75" customWidth="1" min="11782" max="11782"/>
    <col width="87.125" customWidth="1" min="11785" max="11785"/>
    <col width="26.625" customWidth="1" min="11786" max="11786"/>
    <col width="28.125" customWidth="1" min="12033" max="12033"/>
    <col width="16.375" customWidth="1" min="12034" max="12034"/>
    <col width="16.75" customWidth="1" min="12038" max="12038"/>
    <col width="87.125" customWidth="1" min="12041" max="12041"/>
    <col width="26.625" customWidth="1" min="12042" max="12042"/>
    <col width="28.125" customWidth="1" min="12289" max="12289"/>
    <col width="16.375" customWidth="1" min="12290" max="12290"/>
    <col width="16.75" customWidth="1" min="12294" max="12294"/>
    <col width="87.125" customWidth="1" min="12297" max="12297"/>
    <col width="26.625" customWidth="1" min="12298" max="12298"/>
    <col width="28.125" customWidth="1" min="12545" max="12545"/>
    <col width="16.375" customWidth="1" min="12546" max="12546"/>
    <col width="16.75" customWidth="1" min="12550" max="12550"/>
    <col width="87.125" customWidth="1" min="12553" max="12553"/>
    <col width="26.625" customWidth="1" min="12554" max="12554"/>
    <col width="28.125" customWidth="1" min="12801" max="12801"/>
    <col width="16.375" customWidth="1" min="12802" max="12802"/>
    <col width="16.75" customWidth="1" min="12806" max="12806"/>
    <col width="87.125" customWidth="1" min="12809" max="12809"/>
    <col width="26.625" customWidth="1" min="12810" max="12810"/>
    <col width="28.125" customWidth="1" min="13057" max="13057"/>
    <col width="16.375" customWidth="1" min="13058" max="13058"/>
    <col width="16.75" customWidth="1" min="13062" max="13062"/>
    <col width="87.125" customWidth="1" min="13065" max="13065"/>
    <col width="26.625" customWidth="1" min="13066" max="13066"/>
    <col width="28.125" customWidth="1" min="13313" max="13313"/>
    <col width="16.375" customWidth="1" min="13314" max="13314"/>
    <col width="16.75" customWidth="1" min="13318" max="13318"/>
    <col width="87.125" customWidth="1" min="13321" max="13321"/>
    <col width="26.625" customWidth="1" min="13322" max="13322"/>
    <col width="28.125" customWidth="1" min="13569" max="13569"/>
    <col width="16.375" customWidth="1" min="13570" max="13570"/>
    <col width="16.75" customWidth="1" min="13574" max="13574"/>
    <col width="87.125" customWidth="1" min="13577" max="13577"/>
    <col width="26.625" customWidth="1" min="13578" max="13578"/>
    <col width="28.125" customWidth="1" min="13825" max="13825"/>
    <col width="16.375" customWidth="1" min="13826" max="13826"/>
    <col width="16.75" customWidth="1" min="13830" max="13830"/>
    <col width="87.125" customWidth="1" min="13833" max="13833"/>
    <col width="26.625" customWidth="1" min="13834" max="13834"/>
    <col width="28.125" customWidth="1" min="14081" max="14081"/>
    <col width="16.375" customWidth="1" min="14082" max="14082"/>
    <col width="16.75" customWidth="1" min="14086" max="14086"/>
    <col width="87.125" customWidth="1" min="14089" max="14089"/>
    <col width="26.625" customWidth="1" min="14090" max="14090"/>
    <col width="28.125" customWidth="1" min="14337" max="14337"/>
    <col width="16.375" customWidth="1" min="14338" max="14338"/>
    <col width="16.75" customWidth="1" min="14342" max="14342"/>
    <col width="87.125" customWidth="1" min="14345" max="14345"/>
    <col width="26.625" customWidth="1" min="14346" max="14346"/>
    <col width="28.125" customWidth="1" min="14593" max="14593"/>
    <col width="16.375" customWidth="1" min="14594" max="14594"/>
    <col width="16.75" customWidth="1" min="14598" max="14598"/>
    <col width="87.125" customWidth="1" min="14601" max="14601"/>
    <col width="26.625" customWidth="1" min="14602" max="14602"/>
    <col width="28.125" customWidth="1" min="14849" max="14849"/>
    <col width="16.375" customWidth="1" min="14850" max="14850"/>
    <col width="16.75" customWidth="1" min="14854" max="14854"/>
    <col width="87.125" customWidth="1" min="14857" max="14857"/>
    <col width="26.625" customWidth="1" min="14858" max="14858"/>
    <col width="28.125" customWidth="1" min="15105" max="15105"/>
    <col width="16.375" customWidth="1" min="15106" max="15106"/>
    <col width="16.75" customWidth="1" min="15110" max="15110"/>
    <col width="87.125" customWidth="1" min="15113" max="15113"/>
    <col width="26.625" customWidth="1" min="15114" max="15114"/>
    <col width="28.125" customWidth="1" min="15361" max="15361"/>
    <col width="16.375" customWidth="1" min="15362" max="15362"/>
    <col width="16.75" customWidth="1" min="15366" max="15366"/>
    <col width="87.125" customWidth="1" min="15369" max="15369"/>
    <col width="26.625" customWidth="1" min="15370" max="15370"/>
    <col width="28.125" customWidth="1" min="15617" max="15617"/>
    <col width="16.375" customWidth="1" min="15618" max="15618"/>
    <col width="16.75" customWidth="1" min="15622" max="15622"/>
    <col width="87.125" customWidth="1" min="15625" max="15625"/>
    <col width="26.625" customWidth="1" min="15626" max="15626"/>
    <col width="28.125" customWidth="1" min="15873" max="15873"/>
    <col width="16.375" customWidth="1" min="15874" max="15874"/>
    <col width="16.75" customWidth="1" min="15878" max="15878"/>
    <col width="87.125" customWidth="1" min="15881" max="15881"/>
    <col width="26.625" customWidth="1" min="15882" max="15882"/>
    <col width="28.125" customWidth="1" min="16129" max="16129"/>
    <col width="16.375" customWidth="1" min="16130" max="16130"/>
    <col width="16.75" customWidth="1" min="16134" max="16134"/>
    <col width="87.125" customWidth="1" min="16137" max="16137"/>
    <col width="26.625" customWidth="1" min="16138" max="16138"/>
  </cols>
  <sheetData>
    <row r="1">
      <c r="A1" t="inlineStr">
        <is>
          <t>Publication Type</t>
        </is>
      </c>
      <c r="B1" t="inlineStr">
        <is>
          <t>Authors</t>
        </is>
      </c>
      <c r="C1" t="inlineStr">
        <is>
          <t>Book Authors</t>
        </is>
      </c>
      <c r="D1" t="inlineStr">
        <is>
          <t>Book Editors</t>
        </is>
      </c>
      <c r="E1" t="inlineStr">
        <is>
          <t>Book Group Authors</t>
        </is>
      </c>
      <c r="F1" t="inlineStr">
        <is>
          <t>Author Full Names</t>
        </is>
      </c>
      <c r="G1" t="inlineStr">
        <is>
          <t>Book Author Full Names</t>
        </is>
      </c>
      <c r="H1" t="inlineStr">
        <is>
          <t>Group Authors</t>
        </is>
      </c>
      <c r="I1" t="inlineStr">
        <is>
          <t>Article Title</t>
        </is>
      </c>
      <c r="J1" t="inlineStr">
        <is>
          <t>Source Title</t>
        </is>
      </c>
      <c r="K1" t="inlineStr">
        <is>
          <t>Book Series Title</t>
        </is>
      </c>
      <c r="L1" t="inlineStr">
        <is>
          <t>Book Series Subtitle</t>
        </is>
      </c>
      <c r="M1" t="inlineStr">
        <is>
          <t>Language</t>
        </is>
      </c>
      <c r="N1" t="inlineStr">
        <is>
          <t>Document Type</t>
        </is>
      </c>
      <c r="O1" t="inlineStr">
        <is>
          <t>Conference Title</t>
        </is>
      </c>
      <c r="P1" t="inlineStr">
        <is>
          <t>Conference Date</t>
        </is>
      </c>
      <c r="Q1" t="inlineStr">
        <is>
          <t>Conference Location</t>
        </is>
      </c>
      <c r="R1" t="inlineStr">
        <is>
          <t>Conference Sponsor</t>
        </is>
      </c>
      <c r="S1" t="inlineStr">
        <is>
          <t>Conference Host</t>
        </is>
      </c>
      <c r="T1" t="inlineStr">
        <is>
          <t>Author Keywords</t>
        </is>
      </c>
      <c r="U1" t="inlineStr">
        <is>
          <t>Keywords Plus</t>
        </is>
      </c>
      <c r="V1" t="inlineStr">
        <is>
          <t>Abstract</t>
        </is>
      </c>
      <c r="W1" t="inlineStr">
        <is>
          <t>Addresses</t>
        </is>
      </c>
      <c r="X1" t="inlineStr">
        <is>
          <t>Affiliations</t>
        </is>
      </c>
      <c r="Y1" t="inlineStr">
        <is>
          <t>Reprint Addresses</t>
        </is>
      </c>
      <c r="Z1" t="inlineStr">
        <is>
          <t>Email Addresses</t>
        </is>
      </c>
      <c r="AA1" t="inlineStr">
        <is>
          <t>Researcher Ids</t>
        </is>
      </c>
      <c r="AB1" t="inlineStr">
        <is>
          <t>ORCIDs</t>
        </is>
      </c>
      <c r="AC1" t="inlineStr">
        <is>
          <t>Funding Orgs</t>
        </is>
      </c>
      <c r="AD1" t="inlineStr">
        <is>
          <t>Funding Name Preferred</t>
        </is>
      </c>
      <c r="AE1" t="inlineStr">
        <is>
          <t>Funding Text</t>
        </is>
      </c>
      <c r="AF1" t="inlineStr">
        <is>
          <t>Cited References</t>
        </is>
      </c>
      <c r="AG1" t="inlineStr">
        <is>
          <t>Cited Reference Count</t>
        </is>
      </c>
      <c r="AH1" t="inlineStr">
        <is>
          <t>Times Cited, WoS Core</t>
        </is>
      </c>
      <c r="AI1" t="inlineStr">
        <is>
          <t>Times Cited, All Databases</t>
        </is>
      </c>
      <c r="AJ1" t="inlineStr">
        <is>
          <t>180 Day Usage Count</t>
        </is>
      </c>
      <c r="AK1" t="inlineStr">
        <is>
          <t>Since 2013 Usage Count</t>
        </is>
      </c>
      <c r="AL1" t="inlineStr">
        <is>
          <t>Publisher</t>
        </is>
      </c>
      <c r="AM1" t="inlineStr">
        <is>
          <t>Publisher City</t>
        </is>
      </c>
      <c r="AN1" t="inlineStr">
        <is>
          <t>Publisher Address</t>
        </is>
      </c>
      <c r="AO1" t="inlineStr">
        <is>
          <t>ISSN</t>
        </is>
      </c>
      <c r="AP1" t="inlineStr">
        <is>
          <t>eISSN</t>
        </is>
      </c>
      <c r="AQ1" t="inlineStr">
        <is>
          <t>ISBN</t>
        </is>
      </c>
      <c r="AR1" t="inlineStr">
        <is>
          <t>Journal Abbreviation</t>
        </is>
      </c>
      <c r="AS1" t="inlineStr">
        <is>
          <t>Journal ISO Abbreviation</t>
        </is>
      </c>
      <c r="AT1" t="inlineStr">
        <is>
          <t>Publication Date</t>
        </is>
      </c>
      <c r="AU1" t="inlineStr">
        <is>
          <t>Publication Year</t>
        </is>
      </c>
      <c r="AV1" t="inlineStr">
        <is>
          <t>Volume</t>
        </is>
      </c>
      <c r="AW1" t="inlineStr">
        <is>
          <t>Issue</t>
        </is>
      </c>
      <c r="AX1" t="inlineStr">
        <is>
          <t>Part Number</t>
        </is>
      </c>
      <c r="AY1" t="inlineStr">
        <is>
          <t>Supplement</t>
        </is>
      </c>
      <c r="AZ1" t="inlineStr">
        <is>
          <t>Special Issue</t>
        </is>
      </c>
      <c r="BA1" t="inlineStr">
        <is>
          <t>Meeting Abstract</t>
        </is>
      </c>
      <c r="BB1" t="inlineStr">
        <is>
          <t>Start Page</t>
        </is>
      </c>
      <c r="BC1" t="inlineStr">
        <is>
          <t>End Page</t>
        </is>
      </c>
      <c r="BD1" t="inlineStr">
        <is>
          <t>Article Number</t>
        </is>
      </c>
      <c r="BE1" t="inlineStr">
        <is>
          <t>DOI</t>
        </is>
      </c>
      <c r="BF1" t="inlineStr">
        <is>
          <t>DOI Link</t>
        </is>
      </c>
      <c r="BG1" t="inlineStr">
        <is>
          <t>Book DOI</t>
        </is>
      </c>
      <c r="BH1" t="inlineStr">
        <is>
          <t>Early Access Date</t>
        </is>
      </c>
      <c r="BI1" t="inlineStr">
        <is>
          <t>Number of Pages</t>
        </is>
      </c>
      <c r="BJ1" t="inlineStr">
        <is>
          <t>WoS Categories</t>
        </is>
      </c>
      <c r="BK1" t="inlineStr">
        <is>
          <t>Web of Science Index</t>
        </is>
      </c>
      <c r="BL1" t="inlineStr">
        <is>
          <t>Research Areas</t>
        </is>
      </c>
      <c r="BM1" t="inlineStr">
        <is>
          <t>IDS Number</t>
        </is>
      </c>
      <c r="BN1" t="inlineStr">
        <is>
          <t>Pubmed Id</t>
        </is>
      </c>
      <c r="BO1" t="inlineStr">
        <is>
          <t>Open Access Designations</t>
        </is>
      </c>
      <c r="BP1" t="inlineStr">
        <is>
          <t>Highly Cited Status</t>
        </is>
      </c>
      <c r="BQ1" t="inlineStr">
        <is>
          <t>Hot Paper Status</t>
        </is>
      </c>
      <c r="BR1" t="inlineStr">
        <is>
          <t>Date of Export</t>
        </is>
      </c>
      <c r="BS1" t="inlineStr">
        <is>
          <t>UT (Unique WOS ID)</t>
        </is>
      </c>
      <c r="BT1" t="inlineStr">
        <is>
          <t>Web of Science Record</t>
        </is>
      </c>
      <c r="BU1" t="inlineStr">
        <is>
          <t>doi 중복</t>
        </is>
      </c>
      <c r="BV1" t="inlineStr">
        <is>
          <t>제목 중복</t>
        </is>
      </c>
    </row>
    <row r="2">
      <c r="A2" s="4" t="inlineStr">
        <is>
          <t>netminer 검색</t>
        </is>
      </c>
      <c r="B2" t="inlineStr">
        <is>
          <t>Kang, N; Ahn, S; Jeong, HW</t>
        </is>
      </c>
      <c r="F2" t="inlineStr">
        <is>
          <t>Kang, Naru; Ahn, Shinhye; Jeong, Hye Won</t>
        </is>
      </c>
      <c r="I2" t="inlineStr">
        <is>
          <t>A Text Network Analysis of Nurse Managers' Feedback Journals</t>
        </is>
      </c>
      <c r="J2" t="inlineStr">
        <is>
          <t>CIN-COMPUTERS INFORMATICS NURSING</t>
        </is>
      </c>
      <c r="N2" t="inlineStr">
        <is>
          <t>Article</t>
        </is>
      </c>
      <c r="V2" t="inlineStr">
        <is>
          <t>This study employed text network analysis to examine nurse managers' feedback journals for new nurses, highlighting the critical need for structured support during their transition period. A total of 429 feedback journals were documented by 32 nurse managers for 239 new nurses between September 2019 and March 2021 in South Korea, aiming to identify the challenges faced by new nurses and explore keyword relationships and thematic patterns. The analysis process included 4 stages: data preprocessing, keyword extraction, network and centrality analysis, and subtheme analysis. Using NetMiner 4.5.0, the analysis identified several central keywords in the feedback journals, with performance showing the highest centrality values (degree centrality = 0.448, closeness centrality = 0.580, betweenness centrality = 0.117), followed by experience and explanation. Through community detection analysis using the eigenvector method, 3 distinct subthemes emerged from the network structure: clinical practice fundamentals, learning and development process, and support and educational system. The findings of this study provide empirical evidence for developing structured feedback programs and enhancing nurse managers' interviewing competencies. The findings provide empirical evidence regarding linguistic patterns and thematic structures in nurse managers' feedback, suggesting systematic documentation protocols and utilization of these insights to inform structured feedback initiatives, thereby supporting new nurses' development.</t>
        </is>
      </c>
      <c r="W2" t="inlineStr">
        <is>
          <t>[Ahn, Shinhye] Chonnam Natl Univ Hosp, Dept Nursing, Gwangju, South Korea; [Jeong, Hye Won] Sunchon Natl Univ, Dept Nursing, Sunchon Si, Jeollanam Do, South Korea; [Jeong, Hye Won] Korea Natl Univ Transportat, Dept Nursing, 61 Daehak Ro, Jeungpyeong 27909, Chungcheongbuk, South Korea</t>
        </is>
      </c>
      <c r="Y2" t="inlineStr">
        <is>
          <t>Jeong, HW (corresponding author), Korea Natl Univ Transportat, Dept Nursing, 61 Daehak Ro, Jeungpyeong 27909, Chungcheongbuk, South Korea.</t>
        </is>
      </c>
      <c r="Z2" t="inlineStr">
        <is>
          <t>knr5318@naver.com; chunyanggirl@naver.com; hyewon1129@ut.ac.kr</t>
        </is>
      </c>
      <c r="AG2" t="n">
        <v>40</v>
      </c>
      <c r="AH2" t="n">
        <v>0</v>
      </c>
      <c r="AI2" t="n">
        <v>0</v>
      </c>
      <c r="AT2" t="inlineStr">
        <is>
          <t>MAR</t>
        </is>
      </c>
      <c r="AU2" t="n">
        <v>2026</v>
      </c>
      <c r="AV2" t="n">
        <v>44</v>
      </c>
      <c r="AW2" t="n">
        <v>3</v>
      </c>
      <c r="BD2" t="inlineStr">
        <is>
          <t>e01373</t>
        </is>
      </c>
      <c r="BE2" t="inlineStr">
        <is>
          <t>10.1097/CIN.0000000000001373</t>
        </is>
      </c>
      <c r="BF2">
        <f>HYPERLINK("http://dx.doi.org/10.1097/CIN.0000000000001373","http://dx.doi.org/10.1097/CIN.0000000000001373")</f>
        <v/>
      </c>
      <c r="BR2" t="inlineStr">
        <is>
          <t>2026-05-29</t>
        </is>
      </c>
      <c r="BS2" t="inlineStr">
        <is>
          <t>WOS:001708080600007</t>
        </is>
      </c>
      <c r="BT2">
        <f>HYPERLINK("https%3A%2F%2Fwww.webofscience.com%2Fwos%2Fwoscc%2Ffull-record%2FWOS:001708080600007","View Full Record in Web of Science")</f>
        <v/>
      </c>
      <c r="BU2">
        <f>COUNTIF('오픈소스&amp;직접수집'!F:F,'wos(corecollection)_260528'!BE2)</f>
        <v/>
      </c>
      <c r="BV2">
        <f>COUNTIF('오픈소스&amp;직접수집'!A:A,'wos(corecollection)_260528'!I2)</f>
        <v/>
      </c>
      <c r="BW2">
        <f>SUM(BU2:BV2)</f>
        <v/>
      </c>
    </row>
    <row r="3">
      <c r="A3" s="4" t="inlineStr">
        <is>
          <t>netminer 검색</t>
        </is>
      </c>
      <c r="B3" t="inlineStr">
        <is>
          <t>Kang, N; Zhang, P; Li, H; Wen, SS; Ji, CY; Yang, YQ</t>
        </is>
      </c>
      <c r="F3" t="inlineStr">
        <is>
          <t>Kang, Ning; Zhang, Peng; Li, Hao; Wen, Sisi; Ji, Chaoyang; Yang, Yongqiang</t>
        </is>
      </c>
      <c r="I3" t="inlineStr">
        <is>
          <t>Network Specification Mining With High Fidelity, Scalability, and Readability</t>
        </is>
      </c>
      <c r="J3" t="inlineStr">
        <is>
          <t>IEEE TRANSACTIONS ON NETWORKING</t>
        </is>
      </c>
      <c r="N3" t="inlineStr">
        <is>
          <t>Article</t>
        </is>
      </c>
      <c r="V3" t="inlineStr">
        <is>
          <t>Network specification, which describes what an existing network is designed for, can help operators better understand and manage their networks, and is a critical pre-condition for network verification and synthesis tools to work. Existing tools for specification mining either cannot scale to large networks, or scale by sacrificing fidelity. Moreover, the specification contains a huge number of low-level intents (e.g., tens of thousands of pairwise reachability), making it hard for operators to read. To this end, this paper presents NetMiner, which can mine specification from network configurations, with high scalability, fidelity, and easier to read. The key idea of NetMiner is to faithfully simulate the network routing and forwarding behaviors with control plane simulators and data plane verifiers, so as to achieve high fidelity. Meanwhile, NetMiner improves the scalability by identifying relevant failure scenarios, and aggregating them to significantly reduce the number of needed simulations. Moreover, NetMiner clusters similar low-level intents into a high-level intent, to make the specification more concise and easier to read. Experiments using real configurations from a large cloud service provider and synthetic configurations show that NetMiner can mine specification 10 x faster, and reduce the number of intents by 100 x, compared to state-of-the-art tools.</t>
        </is>
      </c>
      <c r="W3" t="inlineStr">
        <is>
          <t>[Kang, Ning; Zhang, Peng; Li, Hao; Wen, Sisi] Xi An Jiao Tong Univ, Minist Educ, MOE Key Lab Intelligent Networks &amp; Network Secur, Xian 710049, Peoples R China; [Ji, Chaoyang; Yang, Yongqiang] Huawei Cloud Comp Technol Co Ltd, Beijing 100015, Peoples R China</t>
        </is>
      </c>
      <c r="Y3" t="inlineStr">
        <is>
          <t>Zhang, P (corresponding author), Xi An Jiao Tong Univ, Minist Educ, MOE Key Lab Intelligent Networks &amp; Network Secur, Xian 710049, Peoples R China.</t>
        </is>
      </c>
      <c r="Z3" t="inlineStr">
        <is>
          <t>kangning2018@foxmail.com; p-zhang@xjtu.edu.cn; hao.li@xjtu.edu.cn; sswen0427@gmail.com; jichaoyang@huawei.com; yangyongqiang@huawei.com</t>
        </is>
      </c>
      <c r="AG3" t="n">
        <v>50</v>
      </c>
      <c r="AH3" t="n">
        <v>0</v>
      </c>
      <c r="AI3" t="n">
        <v>0</v>
      </c>
      <c r="AU3" t="n">
        <v>2026</v>
      </c>
      <c r="AV3" t="n">
        <v>34</v>
      </c>
      <c r="BB3" t="n">
        <v>737</v>
      </c>
      <c r="BC3" t="n">
        <v>752</v>
      </c>
      <c r="BE3" t="inlineStr">
        <is>
          <t>10.1109/TON.2025.3607440</t>
        </is>
      </c>
      <c r="BF3">
        <f>HYPERLINK("http://dx.doi.org/10.1109/TON.2025.3607440","http://dx.doi.org/10.1109/TON.2025.3607440")</f>
        <v/>
      </c>
      <c r="BH3" t="inlineStr">
        <is>
          <t>SEP 2025</t>
        </is>
      </c>
      <c r="BR3" t="inlineStr">
        <is>
          <t>2026-05-29</t>
        </is>
      </c>
      <c r="BS3" t="inlineStr">
        <is>
          <t>WOS:001582265700001</t>
        </is>
      </c>
      <c r="BT3">
        <f>HYPERLINK("https%3A%2F%2Fwww.webofscience.com%2Fwos%2Fwoscc%2Ffull-record%2FWOS:001582265700001","View Full Record in Web of Science")</f>
        <v/>
      </c>
      <c r="BU3">
        <f>COUNTIF('오픈소스&amp;직접수집'!F:F,'wos(corecollection)_260528'!BE3)</f>
        <v/>
      </c>
      <c r="BV3">
        <f>COUNTIF('오픈소스&amp;직접수집'!A:A,'wos(corecollection)_260528'!I3)</f>
        <v/>
      </c>
      <c r="BW3">
        <f>SUM(BU3:BV3)</f>
        <v/>
      </c>
    </row>
    <row r="4">
      <c r="A4" s="4" t="inlineStr">
        <is>
          <t>netminer 검색</t>
        </is>
      </c>
      <c r="B4" t="inlineStr">
        <is>
          <t>Oh, J; Son, S; Park, JH</t>
        </is>
      </c>
      <c r="F4" t="inlineStr">
        <is>
          <t>Oh, Jinseok; Son, Sungmin; Park, Jin-Hyuck</t>
        </is>
      </c>
      <c r="I4" t="inlineStr">
        <is>
          <t>An analysis of adolescent leisure activity structure based on subjective well-being: Focusing on social network analysis</t>
        </is>
      </c>
      <c r="J4" t="inlineStr">
        <is>
          <t>PLOS ONE</t>
        </is>
      </c>
      <c r="N4" t="inlineStr">
        <is>
          <t>Article</t>
        </is>
      </c>
      <c r="V4" t="inlineStr">
        <is>
          <t>This study examines how adolescent leisure activity networks relate to subjective well-being (SWB) using Statistics Korea's 2019 Time Use Survey. The analysis includes 241 high-SWB and 241 low-SWB adolescents, assessing network density, inclusiveness, average distance, isolated nodes, degree centrality, and cohesion through NetMiner 4.0, with descriptive statistics processed in SPSS ver. 25.0. The results show clear differences in leisure activity networks. High-SWB adolescents engaged in more social activities and sports, while low-SWB adolescents participated in fewer, more solitary activities. High-SWB networks were diverse and well-connected, whereas low-SWB networks were more fragmented. Screen-based activities also played different roles: supporting social connections in high-SWB adolescents but reinforcing isolation in low-SWB adolescents. This study visually highlights that leisure participation varies by SWB level. The findings suggest that promoting diverse and interactive leisure activities can improve adolescent well-being, offering insights for policy and intervention programs.</t>
        </is>
      </c>
      <c r="W4" t="inlineStr">
        <is>
          <t>[Oh, Jinseok; Park, Jin-Hyuck] Univ Soonchunhyang, Soonchunhyang Except Children Inst, Asan, Chungcheongnam, South Korea; [Son, Sungmin] Yonsei Univ, Wonju Coll Med, Dept Psychiat, Wonju Si, Kangwon Do, South Korea</t>
        </is>
      </c>
      <c r="Y4" t="inlineStr">
        <is>
          <t>Park, JH (corresponding author), Univ Soonchunhyang, Soonchunhyang Except Children Inst, Asan, Chungcheongnam, South Korea.</t>
        </is>
      </c>
      <c r="Z4" t="inlineStr">
        <is>
          <t>roophy@naver.com</t>
        </is>
      </c>
      <c r="AG4" t="n">
        <v>34</v>
      </c>
      <c r="AH4" t="n">
        <v>0</v>
      </c>
      <c r="AI4" t="n">
        <v>0</v>
      </c>
      <c r="AU4" t="n">
        <v>2025</v>
      </c>
      <c r="AV4" t="n">
        <v>20</v>
      </c>
      <c r="AW4" t="n">
        <v>5</v>
      </c>
      <c r="BD4" t="inlineStr">
        <is>
          <t>e0322956</t>
        </is>
      </c>
      <c r="BE4" t="inlineStr">
        <is>
          <t>10.1371/journal.pone.0322956</t>
        </is>
      </c>
      <c r="BF4">
        <f>HYPERLINK("http://dx.doi.org/10.1371/journal.pone.0322956","http://dx.doi.org/10.1371/journal.pone.0322956")</f>
        <v/>
      </c>
      <c r="BR4" t="inlineStr">
        <is>
          <t>2026-05-29</t>
        </is>
      </c>
      <c r="BS4" t="inlineStr">
        <is>
          <t>WOS:001488720800043</t>
        </is>
      </c>
      <c r="BT4">
        <f>HYPERLINK("https%3A%2F%2Fwww.webofscience.com%2Fwos%2Fwoscc%2Ffull-record%2FWOS:001488720800043","View Full Record in Web of Science")</f>
        <v/>
      </c>
      <c r="BU4">
        <f>COUNTIF('오픈소스&amp;직접수집'!F:F,'wos(corecollection)_260528'!BE4)</f>
        <v/>
      </c>
      <c r="BV4">
        <f>COUNTIF('오픈소스&amp;직접수집'!A:A,'wos(corecollection)_260528'!I4)</f>
        <v/>
      </c>
      <c r="BW4">
        <f>SUM(BU4:BV4)</f>
        <v/>
      </c>
    </row>
    <row r="5">
      <c r="A5" s="4" t="inlineStr">
        <is>
          <t>netminer 검색</t>
        </is>
      </c>
      <c r="B5" t="inlineStr">
        <is>
          <t>Seon, SH; Jeong, HW; Choi, JY</t>
        </is>
      </c>
      <c r="F5" t="inlineStr">
        <is>
          <t>Seon, Sun Hee; Jeong, Hye Won; Choi, Ja Yun</t>
        </is>
      </c>
      <c r="I5" t="inlineStr">
        <is>
          <t>Exploring the Knowledge Structure of Research for Nurse Preceptor Training Programs Using Text Network Analysis and Topic Modeling</t>
        </is>
      </c>
      <c r="J5" t="inlineStr">
        <is>
          <t>CIN-COMPUTERS INFORMATICS NURSING</t>
        </is>
      </c>
      <c r="N5" t="inlineStr">
        <is>
          <t>Article</t>
        </is>
      </c>
      <c r="V5" t="inlineStr">
        <is>
          <t>PurposeThis study utilized text network analysis and topic modeling to examine the research landscape of nurse preceptor training programs and facilitate the adaptation of new nurses in Korea and internationally.MethodsAbstracts from three Korean and 45 international studies on preceptor nurse training programs were collected. Keywords and meaningful morphemes from the abstracts and main text were analyzed and refined. A co-occurrence matrix of keywords was generated to analyze degree, closeness, and betweenness centrality using NetMiner 4.5.0 software. Topic modeling was used to identify key thematic structures.ResultsAmong the top 10 ranked keywords, five common terms-clinical competence, educator, nursing practice, teaching strategy, and mentoring-emerged across both frequency and centrality measures. Topic modeling identified four major subtopics: nurse preceptor programs for strengthening partnership skills and professional insights, communication programs to enhance the self-care competence of nurse preceptors, simulation programs to strengthen the expertise of nurse preceptors, and nurse preceptor programs to foster emotional empathy and growth.ConclusionThis study improves patient safety and professional competence by promoting optimal clinical decision-making for new nurse preceptees. Future research should develop educational programs that foster mutual empathy and professional growth between nurse preceptors and new nurse preceptees.</t>
        </is>
      </c>
      <c r="W5" t="inlineStr">
        <is>
          <t>[Seon, Sun Hee] Chonnam Natl Univ Hosp, Gwangju, South Korea; [Jeong, Hye Won] Korea Natl Univ Transportat, Jeungpyeong Gun, Chungcheongbuk, South Korea; [Choi, Ja Yun] Chonnam Natl Univ, Gwangju, South Korea</t>
        </is>
      </c>
      <c r="Y5" t="inlineStr">
        <is>
          <t>Choi, JY (corresponding author), Chonnam Natl Univ, Coll Nursing, 160 Baekseo ro, Gwangju 61469, South Korea.</t>
        </is>
      </c>
      <c r="Z5" t="inlineStr">
        <is>
          <t>Seon00509@hanmail.net; hyewon1129@ut.ac.kr; choijy@jnu.ac.kr</t>
        </is>
      </c>
      <c r="AG5" t="n">
        <v>33</v>
      </c>
      <c r="AH5" t="n">
        <v>0</v>
      </c>
      <c r="AI5" t="n">
        <v>0</v>
      </c>
      <c r="AT5" t="inlineStr">
        <is>
          <t>SEP</t>
        </is>
      </c>
      <c r="AU5" t="n">
        <v>2025</v>
      </c>
      <c r="AV5" t="n">
        <v>43</v>
      </c>
      <c r="AW5" t="n">
        <v>9</v>
      </c>
      <c r="BD5" t="inlineStr">
        <is>
          <t>e01347</t>
        </is>
      </c>
      <c r="BE5" t="inlineStr">
        <is>
          <t>10.1097/CIN.0000000000001347</t>
        </is>
      </c>
      <c r="BF5">
        <f>HYPERLINK("http://dx.doi.org/10.1097/CIN.0000000000001347","http://dx.doi.org/10.1097/CIN.0000000000001347")</f>
        <v/>
      </c>
      <c r="BR5" t="inlineStr">
        <is>
          <t>2026-05-29</t>
        </is>
      </c>
      <c r="BS5" t="inlineStr">
        <is>
          <t>WOS:001569257100006</t>
        </is>
      </c>
      <c r="BT5">
        <f>HYPERLINK("https%3A%2F%2Fwww.webofscience.com%2Fwos%2Fwoscc%2Ffull-record%2FWOS:001569257100006","View Full Record in Web of Science")</f>
        <v/>
      </c>
      <c r="BU5">
        <f>COUNTIF('오픈소스&amp;직접수집'!F:F,'wos(corecollection)_260528'!BE5)</f>
        <v/>
      </c>
      <c r="BV5">
        <f>COUNTIF('오픈소스&amp;직접수집'!A:A,'wos(corecollection)_260528'!I5)</f>
        <v/>
      </c>
      <c r="BW5">
        <f>SUM(BU5:BV5)</f>
        <v/>
      </c>
    </row>
    <row r="6">
      <c r="A6" s="4" t="inlineStr">
        <is>
          <t>netminer 검색</t>
        </is>
      </c>
      <c r="B6" t="inlineStr">
        <is>
          <t>Ahn, S; Jeong, HW</t>
        </is>
      </c>
      <c r="F6" t="inlineStr">
        <is>
          <t>Ahn, Shinhye; Jeong, Hye Won</t>
        </is>
      </c>
      <c r="I6" t="inlineStr">
        <is>
          <t>Analysis of clinical nurse educators' mentoring feedback on new nurse journals at a tertiary hospital in South Korea: utilizing text network analysis</t>
        </is>
      </c>
      <c r="J6" t="inlineStr">
        <is>
          <t>BMC NURSING</t>
        </is>
      </c>
      <c r="N6" t="inlineStr">
        <is>
          <t>Article</t>
        </is>
      </c>
      <c r="V6" t="inlineStr">
        <is>
          <t>BackgroundThe gap between knowledge and clinical practice causes stress and reality shock, contributing to low job satisfaction and high turnover among new nurses; in 2023, the turnover rate in South Korea reached 52.4%. Korean preceptorship programs are often too brief to adequately support new nurses' adaptation. Clinical nurse educators (CNEs) play a crucial role in addressing these issues by offering knowledge transfer, emotional support, and career guidance. Therefore, strategies to strengthen CNEs' coaching and mentoring skills are essential to support new nurses' stable clinical adaptation. This study analyzed how CNEs mentored new hospital nurses by responding to their post-entry journals.MethodsThis study employed a quantitative content analysis. We used NetMiner 4.5.1 to conduct a text network analysis of 1,742 mentoring journal responses written by four CNEs for 120 new nurses at C University Hospital in South Korea between June 2021 and May 2022.ResultsThe keyword attitude had the highest frequency (726), emphasizing the clinical importance of fostering positive attitudes among new nurses. The keyword network had average centrality measures of degree (.15), closeness (.43), and betweenness (.05). Keywords with high centrality, such as attitude, importance, performance, and difficulty, highlighted mentoring practices focused on enhancing clinical judgment, nursing performance, and managing workplace challenges. Eigenvector analysis identified three subtopic groups with optimal modularity (.295). Subthemes included: 1) helping new nurses to improve their professional competence, 2) encouraging new nurses struggling to adapt to the field, and 3) empathy for new nurses' burdens and stress.ConclusionsThe findings revealed that the CNEs' mentoring feedback focused on encouraging new nurses to maintain a positive attitude, inspiring their personal and professional growth, and offering empathy and encouragement to help them cope with burdens and stress. Based on these findings, targeted training modules for CNEs and mentoring guidelines should be developed to further support new nurses' adaptation to clinical practice.</t>
        </is>
      </c>
      <c r="W6" t="inlineStr">
        <is>
          <t>[Ahn, Shinhye] Sunchon Natl Univ, Dept Nursing, Suncheon Si, Jeollanam Do, South Korea; [Jeong, Hye Won] Korea Natl Univ Transportat, Dept Nursing, 61 Daehak Ro, Jeungpyeong 27909, Chungcheongbuk, South Korea</t>
        </is>
      </c>
      <c r="Y6" t="inlineStr">
        <is>
          <t>Jeong, HW (corresponding author), Korea Natl Univ Transportat, Dept Nursing, 61 Daehak Ro, Jeungpyeong 27909, Chungcheongbuk, South Korea.</t>
        </is>
      </c>
      <c r="Z6" t="inlineStr">
        <is>
          <t>hyewon1129@ut.ac.kr</t>
        </is>
      </c>
      <c r="AG6" t="n">
        <v>36</v>
      </c>
      <c r="AH6" t="n">
        <v>0</v>
      </c>
      <c r="AI6" t="n">
        <v>0</v>
      </c>
      <c r="AT6" t="inlineStr">
        <is>
          <t>AUG 5</t>
        </is>
      </c>
      <c r="AU6" t="n">
        <v>2025</v>
      </c>
      <c r="AV6" t="n">
        <v>24</v>
      </c>
      <c r="AW6" t="n">
        <v>1</v>
      </c>
      <c r="BD6" t="n">
        <v>1016</v>
      </c>
      <c r="BE6" t="inlineStr">
        <is>
          <t>10.1186/s12912-025-03625-5</t>
        </is>
      </c>
      <c r="BF6">
        <f>HYPERLINK("http://dx.doi.org/10.1186/s12912-025-03625-5","http://dx.doi.org/10.1186/s12912-025-03625-5")</f>
        <v/>
      </c>
      <c r="BR6" t="inlineStr">
        <is>
          <t>2026-05-29</t>
        </is>
      </c>
      <c r="BS6" t="inlineStr">
        <is>
          <t>WOS:001545465400002</t>
        </is>
      </c>
      <c r="BT6">
        <f>HYPERLINK("https%3A%2F%2Fwww.webofscience.com%2Fwos%2Fwoscc%2Ffull-record%2FWOS:001545465400002","View Full Record in Web of Science")</f>
        <v/>
      </c>
      <c r="BU6">
        <f>COUNTIF('오픈소스&amp;직접수집'!F:F,'wos(corecollection)_260528'!BE6)</f>
        <v/>
      </c>
      <c r="BV6">
        <f>COUNTIF('오픈소스&amp;직접수집'!A:A,'wos(corecollection)_260528'!I6)</f>
        <v/>
      </c>
      <c r="BW6">
        <f>SUM(BU6:BV6)</f>
        <v/>
      </c>
    </row>
    <row r="7">
      <c r="A7" s="4" t="inlineStr">
        <is>
          <t>netminer 검색</t>
        </is>
      </c>
      <c r="B7" t="inlineStr">
        <is>
          <t>Oh, JS; Ho, JG; Park, JH</t>
        </is>
      </c>
      <c r="F7" t="inlineStr">
        <is>
          <t>Oh, Jin Seok; Ho, Jong Gab; Park, Jin-Hyuck</t>
        </is>
      </c>
      <c r="I7" t="inlineStr">
        <is>
          <t>The Impact of Late Adolescents' Social Network Strength on Mental Health</t>
        </is>
      </c>
      <c r="J7" t="inlineStr">
        <is>
          <t>BRAIN AND BEHAVIOR</t>
        </is>
      </c>
      <c r="N7" t="inlineStr">
        <is>
          <t>Article</t>
        </is>
      </c>
      <c r="V7" t="inlineStr">
        <is>
          <t>Purpose This study examined how social network strength (i.e., the intensity and frequency of interactions within one's personal network, assessed using centrality measures such as degree, closeness, betweenness, and eigenvector centrality) affects mental health. Methods The study was conducted with 108 first-year university students. Data were collected using a structured questionnaire, and NetMiner 4.0 was employed to analyze degree centrality, closeness centrality, betweenness centrality, and eigenvector centrality as indicators of social network centrality. Additionally, Quadratic Assignment Procedure (QAP) correlation analysis and QAP regression analysis were conducted to assess the relationship between social network strength and mental health. Results The study found that stronger social networks were linked to better mental health in late adolescence. Specifically, higher social network centrality was associated with lower levels of hopelessness and depression. QAP correlation analysis revealed that hopelessness had a significant negative correlation with in-closeness centrality (which reflects how easily one can be reached by others within the network) (r = -0.252, p &lt; 0.05), while depression was negatively correlated with in-degree centrality (the number of direct incoming connections from peers) (r = -0.233, p &lt; 0.05), in-closeness centrality (r = -0.256, p &lt; 0.05), and eigenvector centrality (a measure of how well a person is connected to popular or influential members of the network) (r = -0.291, p &lt; 0.01). QAP regression analysis further confirmed that weaker social ties, indicated by higher out-closeness centrality (how easily one can reach others, especially those at a distance), were associated with higher depressive symptoms (adj. R-2 = 0.143, F = 2.423, p &lt; 0.05). These results suggest that building stronger and more integrated social networks may help reduce psychological distress and support mental well-being in late adolescence. Conclusion Stronger social networks in late adolescence are associated with better mental health, highlighting the importance of social connections. While correlational findings suggest general links between centrality and emotional well-being, the regression results underscore specific predictors with practical implications. In-degree, in-closeness, and eigenvector centrality were associated with reduced depressive symptoms, indicating that being well-integrated within a social network may offer protective benefits. In contrast, high out-closeness centrality predicted increased depression, suggesting that the effort required to maintain outward-reaching connections may impose psychological burdens. These findings suggest that targeted interventions should focus on strengthening inward social integration while addressing the stress related to maintaining extensive outward connections, providing direction for more effective youth mental health strategies.</t>
        </is>
      </c>
      <c r="W7" t="inlineStr">
        <is>
          <t>[Oh, Jin Seok; Ho, Jong Gab; Park, Jin-Hyuck] Soonchunhyang Univ, Soonchunhyang Except Children Inst, Asan, South Korea; [Park, Jin-Hyuck] Soonchunhyang Univ, Coll Med Sci, Dept Occupat Therapy, Asan, South Korea</t>
        </is>
      </c>
      <c r="Y7" t="inlineStr">
        <is>
          <t>Park, JH (corresponding author), Soonchunhyang Univ, Soonchunhyang Except Children Inst, Asan, South Korea.;Park, JH (corresponding author), Soonchunhyang Univ, Coll Med Sci, Dept Occupat Therapy, Asan, South Korea.</t>
        </is>
      </c>
      <c r="Z7" t="inlineStr">
        <is>
          <t>roophy@naver.com</t>
        </is>
      </c>
      <c r="AG7" t="n">
        <v>60</v>
      </c>
      <c r="AH7" t="n">
        <v>0</v>
      </c>
      <c r="AI7" t="n">
        <v>0</v>
      </c>
      <c r="AT7" t="inlineStr">
        <is>
          <t>SEP 27</t>
        </is>
      </c>
      <c r="AU7" t="n">
        <v>2025</v>
      </c>
      <c r="AV7" t="n">
        <v>15</v>
      </c>
      <c r="AW7" t="n">
        <v>10</v>
      </c>
      <c r="BD7" t="inlineStr">
        <is>
          <t>e70910</t>
        </is>
      </c>
      <c r="BE7" t="inlineStr">
        <is>
          <t>10.1002/brb3.70910</t>
        </is>
      </c>
      <c r="BF7">
        <f>HYPERLINK("http://dx.doi.org/10.1002/brb3.70910","http://dx.doi.org/10.1002/brb3.70910")</f>
        <v/>
      </c>
      <c r="BR7" t="inlineStr">
        <is>
          <t>2026-05-29</t>
        </is>
      </c>
      <c r="BS7" t="inlineStr">
        <is>
          <t>WOS:001582615700001</t>
        </is>
      </c>
      <c r="BT7">
        <f>HYPERLINK("https%3A%2F%2Fwww.webofscience.com%2Fwos%2Fwoscc%2Ffull-record%2FWOS:001582615700001","View Full Record in Web of Science")</f>
        <v/>
      </c>
      <c r="BU7">
        <f>COUNTIF('오픈소스&amp;직접수집'!F:F,'wos(corecollection)_260528'!BE7)</f>
        <v/>
      </c>
      <c r="BV7">
        <f>COUNTIF('오픈소스&amp;직접수집'!A:A,'wos(corecollection)_260528'!I7)</f>
        <v/>
      </c>
      <c r="BW7">
        <f>SUM(BU7:BV7)</f>
        <v/>
      </c>
    </row>
    <row r="8">
      <c r="A8" s="4" t="inlineStr">
        <is>
          <t>netminer 검색</t>
        </is>
      </c>
      <c r="B8" t="inlineStr">
        <is>
          <t>Ahn, SH; Jeong, HW; Yang, SG; Jung, US; Choi, ML; Kim, HS</t>
        </is>
      </c>
      <c r="F8" t="inlineStr">
        <is>
          <t>Ahn, Shin Hye; Jeong, Hye Won; Yang, Seong Gyeong; Jung, Ue Seok; Choi, Myoung Lee; Kim, Heui Seon</t>
        </is>
      </c>
      <c r="I8" t="inlineStr">
        <is>
          <t>Temporal Exploration of New Nurses' Field Adaptation Using Text Network Analysis</t>
        </is>
      </c>
      <c r="J8" t="inlineStr">
        <is>
          <t>JOURNAL OF KOREAN ACADEMY OF NURSING</t>
        </is>
      </c>
      <c r="N8" t="inlineStr">
        <is>
          <t>Article</t>
        </is>
      </c>
      <c r="V8" t="inlineStr">
        <is>
          <t>Purpose: This study aimed to analyze the experiences of new nurses during their first year of hospital employment to gather data for the development of an evidence-based new nurse residency program focused on adaptability. Methods: This study was conducted at a tertiary hospital in Korea between March and August 2021 with 80 new nurses who wrote in critical reflective journals during their first year of work. NetMiner 4.5.0 was used to conduct a text network analysis of the critical reflective journals to uncover core keywords and topics across three periods. Results: In the journals, over time, degree centrality emerged as study and patient understanding for 1 to 3 months, insufficient and stress for 4 to 6 months, and handover and preparation for 7 to 12 months. Major sub-themes at 1 to 3 months were: rounds, intravenous-cannulation, medical device, and patient understanding; at 4 to 6 months they were admission, discharge, oxygen therapy, and disease; and at 7 to 12 months they were burden, independence, and solution. Conclusion: These results provide valuable insights into the challenges and experiences encountered by new nurses during different stages of their field adaptation process. This information may highlight the best nurse leadership methods for improving institutional education and supporting new nurses' transitions to the hospital work environment.</t>
        </is>
      </c>
      <c r="W8" t="inlineStr">
        <is>
          <t>[Ahn, Shin Hye; Jeong, Hye Won; Yang, Seong Gyeong; Jung, Ue Seok; Choi, Myoung Lee; Kim, Heui Seon] Chonnam Natl Univ Hosp, Dept Nursing, Gwangju, South Korea; [Jeong, Hye Won] Chonnam Natl Univ, Coll Nursing, Gwangju, South Korea; [Jeong, Hye Won] Korea Natl Univ Transportat, Dept Nursing, 61 Daehak ro,Yonggang ri,Jeungpyeong eup, Jeungpyeong 27909, South Korea</t>
        </is>
      </c>
      <c r="Y8" t="inlineStr">
        <is>
          <t>Jeong, HW (corresponding author), Korea Natl Univ Transportat, Dept Nursing, 61 Daehak ro,Yonggang ri,Jeungpyeong eup, Jeungpyeong 27909, South Korea.</t>
        </is>
      </c>
      <c r="Z8" t="inlineStr">
        <is>
          <t>hyewon1129@ut.ac.kr</t>
        </is>
      </c>
      <c r="AG8" t="n">
        <v>41</v>
      </c>
      <c r="AH8" t="n">
        <v>4</v>
      </c>
      <c r="AI8" t="n">
        <v>5</v>
      </c>
      <c r="AT8" t="inlineStr">
        <is>
          <t>JUN</t>
        </is>
      </c>
      <c r="AU8" t="n">
        <v>2024</v>
      </c>
      <c r="AV8" t="n">
        <v>54</v>
      </c>
      <c r="AW8" t="n">
        <v>3</v>
      </c>
      <c r="BB8" t="n">
        <v>358</v>
      </c>
      <c r="BC8" t="n">
        <v>371</v>
      </c>
      <c r="BE8" t="inlineStr">
        <is>
          <t>10.4040/jkan.24034</t>
        </is>
      </c>
      <c r="BF8">
        <f>HYPERLINK("http://dx.doi.org/10.4040/jkan.24034","http://dx.doi.org/10.4040/jkan.24034")</f>
        <v/>
      </c>
      <c r="BR8" t="inlineStr">
        <is>
          <t>2026-05-29</t>
        </is>
      </c>
      <c r="BS8" t="inlineStr">
        <is>
          <t>WOS:001314085800007</t>
        </is>
      </c>
      <c r="BT8">
        <f>HYPERLINK("https%3A%2F%2Fwww.webofscience.com%2Fwos%2Fwoscc%2Ffull-record%2FWOS:001314085800007","View Full Record in Web of Science")</f>
        <v/>
      </c>
      <c r="BU8">
        <f>COUNTIF('오픈소스&amp;직접수집'!F:F,'wos(corecollection)_260528'!BE8)</f>
        <v/>
      </c>
      <c r="BV8">
        <f>COUNTIF('오픈소스&amp;직접수집'!A:A,'wos(corecollection)_260528'!I8)</f>
        <v/>
      </c>
      <c r="BW8">
        <f>SUM(BU8:BV8)</f>
        <v/>
      </c>
    </row>
    <row r="9">
      <c r="A9" s="4" t="inlineStr">
        <is>
          <t>netminer 검색</t>
        </is>
      </c>
      <c r="B9" t="inlineStr">
        <is>
          <t>Park, J; Park, S; Kim, MS</t>
        </is>
      </c>
      <c r="F9" t="inlineStr">
        <is>
          <t>Park, Jinah; Park, Shinaeh; Kim, Mi So</t>
        </is>
      </c>
      <c r="I9" t="inlineStr">
        <is>
          <t>Analyzivng Demand for Customized Obesity Prevention and Management Across Adult Age Groups Using Focus Group Interview</t>
        </is>
      </c>
      <c r="J9" t="inlineStr">
        <is>
          <t>INQUIRY-THE JOURNAL OF HEALTH CARE ORGANIZATION PROVISION AND FINANCING</t>
        </is>
      </c>
      <c r="N9" t="inlineStr">
        <is>
          <t>Article</t>
        </is>
      </c>
      <c r="V9" t="inlineStr">
        <is>
          <t>With the increasing obesity rates, many studies on obesity prevention and management have been implemented. However, few studies focused on obesity in adulthood and different perceptions of obesity between life cycles. Thus, this study aimed to investigate the demand for customized obesity prevention and management (OPM) strategies across adult age groups. Focus group interviews were conducted to gather insights from three age groups: young adults (20-34 years), middle-aged adults (35-49 years), and seniors (50-64 years). A total of 17 participants took part in the study, with 5 participants in Group 1, 6 participants in Group 2, and 6 participants in Group 3. Thematic analysis and the use of NetMiner version 4.4.3 facilitated data categorization and scrutiny. The study employed qualitative methods to explore perceptions of obesity and preferences for personalized OPM strategies among participants. Diverse perspectives on obesity as a health threat were found among the age groups. While all stressed the importance of personalized OPM, preferences for strategies varied. Diet and exercise combination emerged as a common preference. This study highlighted the need for customized OPM approaches aligned with age-specific preferences.</t>
        </is>
      </c>
      <c r="W9" t="inlineStr">
        <is>
          <t>[Park, Jinah] Seoul Natl Univ, Seoul, South Korea; [Park, Shinaeh] Korea Univ, Seoul, South Korea; [Kim, Mi So] Shinhan Univ, Dongducheon Si, Gyeonggi Do, South Korea</t>
        </is>
      </c>
      <c r="Y9" t="inlineStr">
        <is>
          <t>Kim, MS (corresponding author), Shinhan Univ, Coll Nursing, 30 Beolmadeul Ro 40Beon Gil, Dongducheon Si 11644, Gyeonggi Do, South Korea.</t>
        </is>
      </c>
      <c r="Z9" t="inlineStr">
        <is>
          <t>misoangel83@gmail.com</t>
        </is>
      </c>
      <c r="AG9" t="n">
        <v>46</v>
      </c>
      <c r="AH9" t="n">
        <v>3</v>
      </c>
      <c r="AI9" t="n">
        <v>4</v>
      </c>
      <c r="AU9" t="n">
        <v>2024</v>
      </c>
      <c r="AV9" t="n">
        <v>61</v>
      </c>
      <c r="BD9" t="n">
        <v>469580241271152</v>
      </c>
      <c r="BE9" t="inlineStr">
        <is>
          <t>10.1177/00469580241271152</t>
        </is>
      </c>
      <c r="BF9">
        <f>HYPERLINK("http://dx.doi.org/10.1177/00469580241271152","http://dx.doi.org/10.1177/00469580241271152")</f>
        <v/>
      </c>
      <c r="BR9" t="inlineStr">
        <is>
          <t>2026-05-29</t>
        </is>
      </c>
      <c r="BS9" t="inlineStr">
        <is>
          <t>WOS:001298233300001</t>
        </is>
      </c>
      <c r="BT9">
        <f>HYPERLINK("https%3A%2F%2Fwww.webofscience.com%2Fwos%2Fwoscc%2Ffull-record%2FWOS:001298233300001","View Full Record in Web of Science")</f>
        <v/>
      </c>
      <c r="BU9">
        <f>COUNTIF('오픈소스&amp;직접수집'!F:F,'wos(corecollection)_260528'!BE9)</f>
        <v/>
      </c>
      <c r="BV9">
        <f>COUNTIF('오픈소스&amp;직접수집'!A:A,'wos(corecollection)_260528'!I9)</f>
        <v/>
      </c>
      <c r="BW9">
        <f>SUM(BU9:BV9)</f>
        <v/>
      </c>
    </row>
    <row r="10">
      <c r="A10" s="4" t="inlineStr">
        <is>
          <t>netminer 검색</t>
        </is>
      </c>
      <c r="B10" t="inlineStr">
        <is>
          <t>Lee, JJ; Kim, J; Lee, SK</t>
        </is>
      </c>
      <c r="F10" t="inlineStr">
        <is>
          <t>Lee, Jae-Joon; Kim, Jongwoo; Lee, Soo-Kyoung</t>
        </is>
      </c>
      <c r="I10" t="inlineStr">
        <is>
          <t>Trends of fear and anger on YouTube during the initial stage of the COVID-19 outbreak in South Korea</t>
        </is>
      </c>
      <c r="J10" t="inlineStr">
        <is>
          <t>BMC PUBLIC HEALTH</t>
        </is>
      </c>
      <c r="N10" t="inlineStr">
        <is>
          <t>Article</t>
        </is>
      </c>
      <c r="V10" t="inlineStr">
        <is>
          <t>Background The COVID-19 pandemic has been the most widespread and threatening health crisis experienced by the Korean society. Faced with an unprecedented threat to survival, society has been gripped by social fear and anger, questioning the culpability of this pandemic. This study explored the correlation between social cognitions and negative emotions and their changes in response to the severe events stemming from the COVID-19 pandemic in South Korea. Methods The analysis was based on a cognitive-emotional model that links fear and anger to the social causes that trigger them and used discursive content from comments posted on YouTube's COVID-19-related videos. A total of 182,915 comments from 1,200 videos were collected between January and December 2020. We performed data analyses and visualizations using R, Netminer 4.0, and Gephi software and calculated Pearson's correlation coefficients between emotions. Results YouTube videos were analyzed for keywords indicating cognitive assessments of major events related to COVID-19 and keywords indicating negative emotions. Eight topics were identified through topic modeling: causes and risks, perceptions of China, media and information, infection prevention rules, economic activity, school and infection, political leaders, and religion, politics, and infection. The correlation coefficient between fear and anger was 0.462 (p&lt;.001), indicating a moderate linear relationship between the two emotions. Fear was the highest from January to March in the first year of the COVID-19 outbreak, while anger occurred before and after the outbreak, with fluctuations in both emotions during this period. Conclusions This study confirmed that social cognitions and negative emotions are intertwined in response to major events related to the COVID-19 pandemic, with each emotion varying individually rather than being ambiguously mixed. These findings could aid in developing social cognition-emotion-based public health strategies through education and communication during future pandemic outbreaks.</t>
        </is>
      </c>
      <c r="W10" t="inlineStr">
        <is>
          <t>[Lee, Jae-Joon] Sookmyung Womens Univ, Sookmyung Res Inst Humanities, 100 Cheongparo 47 Gel, Seoul 04310, South Korea; [Kim, Jongwoo] Yonsei Univ, Dept Sociol, BK21Four Program, 3-101,84 Mapo-Daero 11 Gil, Seoul 04133, South Korea; [Lee, Soo-Kyoung] Seoul Natl Univ, Bigdata Convergence &amp; Open Sharing Syst 1, Seoul 08826, South Korea</t>
        </is>
      </c>
      <c r="Y10" t="inlineStr">
        <is>
          <t>Lee, SK (corresponding author), Seoul Natl Univ, Bigdata Convergence &amp; Open Sharing Syst 1, Seoul 08826, South Korea.</t>
        </is>
      </c>
      <c r="Z10" t="inlineStr">
        <is>
          <t>soo1005@snu.ac.kr</t>
        </is>
      </c>
      <c r="AG10" t="n">
        <v>54</v>
      </c>
      <c r="AH10" t="n">
        <v>3</v>
      </c>
      <c r="AI10" t="n">
        <v>3</v>
      </c>
      <c r="AT10" t="inlineStr">
        <is>
          <t>JUN 4</t>
        </is>
      </c>
      <c r="AU10" t="n">
        <v>2024</v>
      </c>
      <c r="AV10" t="n">
        <v>24</v>
      </c>
      <c r="AW10" t="n">
        <v>1</v>
      </c>
      <c r="BD10" t="n">
        <v>1496</v>
      </c>
      <c r="BE10" t="inlineStr">
        <is>
          <t>10.1186/s12889-024-19023-6</t>
        </is>
      </c>
      <c r="BF10">
        <f>HYPERLINK("http://dx.doi.org/10.1186/s12889-024-19023-6","http://dx.doi.org/10.1186/s12889-024-19023-6")</f>
        <v/>
      </c>
      <c r="BR10" t="inlineStr">
        <is>
          <t>2026-05-29</t>
        </is>
      </c>
      <c r="BS10" t="inlineStr">
        <is>
          <t>WOS:001320257300007</t>
        </is>
      </c>
      <c r="BT10">
        <f>HYPERLINK("https%3A%2F%2Fwww.webofscience.com%2Fwos%2Fwoscc%2Ffull-record%2FWOS:001320257300007","View Full Record in Web of Science")</f>
        <v/>
      </c>
      <c r="BU10">
        <f>COUNTIF('오픈소스&amp;직접수집'!F:F,'wos(corecollection)_260528'!BE10)</f>
        <v/>
      </c>
      <c r="BV10">
        <f>COUNTIF('오픈소스&amp;직접수집'!A:A,'wos(corecollection)_260528'!I10)</f>
        <v/>
      </c>
      <c r="BW10">
        <f>SUM(BU10:BV10)</f>
        <v/>
      </c>
    </row>
    <row r="11">
      <c r="A11" s="4" t="inlineStr">
        <is>
          <t>netminer 검색</t>
        </is>
      </c>
      <c r="B11" t="inlineStr">
        <is>
          <t>Shin, SH; Baek, OJ</t>
        </is>
      </c>
      <c r="F11" t="inlineStr">
        <is>
          <t>Shin, Sun-Hwa; Baek, On-Jeon</t>
        </is>
      </c>
      <c r="I11" t="inlineStr">
        <is>
          <t>A Study on Internet News for Patient Safety Campaigns: Focusing on Text Network Analysis and Topic Modeling</t>
        </is>
      </c>
      <c r="J11" t="inlineStr">
        <is>
          <t>HEALTHCARE</t>
        </is>
      </c>
      <c r="N11" t="inlineStr">
        <is>
          <t>Article</t>
        </is>
      </c>
      <c r="V11" t="inlineStr">
        <is>
          <t>Background/Objectives: This study aimed to identify the main issues related to public patient safety campaigns reflected in Korean online news. This study utilized a text-mining method to identify keywords and topics related to patient safety campaigns. Methods: The data collection period was from 1 January 2022 to 31 December 2023, and 4110 news articles were extracted. Through data preprocessing, 2661 duplicated news and 1213 unrelated news were removed, and 236 news were selected. Using the NetMiner program, keyword co-occurrence frequency calculation, keyword centrality analysis, and topic modeling analysis were performed. Results: The results showed that the most frequently mentioned keywords with high degree centrality, betweenness centrality, and closeness centrality in online news were hospital, medical, medicine, project, and treatment. The topics of online news related to the patient safety campaign were patient-centered care for medical safety, health promotion projects at a regional institution, hand hygiene education to prevent infection, healthcare quality improvement through the Mint Festival, and safe use of medicines. Conclusions: This study analyzed patient safety campaign news topics using text network analysis and topic modeling. It was confirmed that patient safety campaigns are essential for fostering a patient safety culture, improving medical quality, and encouraging patient participation in hospitals. Therefore, to build a safe medical environment, it is necessary to establish an effective patient safety campaign for not only medical staff providing medical care, but also patients and their caregivers, and for this, cooperation and participation from various professional occupations are necessary.</t>
        </is>
      </c>
      <c r="W11" t="inlineStr">
        <is>
          <t>[Shin, Sun-Hwa; Baek, On-Jeon] Sahmyook Univ, Coll Nursing, Nursing Dept, Seoul 01795, South Korea</t>
        </is>
      </c>
      <c r="Y11" t="inlineStr">
        <is>
          <t>Baek, OJ (corresponding author), Sahmyook Univ, Coll Nursing, Nursing Dept, Seoul 01795, South Korea.</t>
        </is>
      </c>
      <c r="Z11" t="inlineStr">
        <is>
          <t>shinsh@syu.ac.kr; perfectoj@naver.com</t>
        </is>
      </c>
      <c r="AG11" t="n">
        <v>56</v>
      </c>
      <c r="AH11" t="n">
        <v>2</v>
      </c>
      <c r="AI11" t="n">
        <v>2</v>
      </c>
      <c r="AT11" t="inlineStr">
        <is>
          <t>OCT</t>
        </is>
      </c>
      <c r="AU11" t="n">
        <v>2024</v>
      </c>
      <c r="AV11" t="n">
        <v>12</v>
      </c>
      <c r="AW11" t="n">
        <v>19</v>
      </c>
      <c r="BD11" t="n">
        <v>1914</v>
      </c>
      <c r="BE11" t="inlineStr">
        <is>
          <t>10.3390/healthcare12191914</t>
        </is>
      </c>
      <c r="BF11">
        <f>HYPERLINK("http://dx.doi.org/10.3390/healthcare12191914","http://dx.doi.org/10.3390/healthcare12191914")</f>
        <v/>
      </c>
      <c r="BR11" t="inlineStr">
        <is>
          <t>2026-05-29</t>
        </is>
      </c>
      <c r="BS11" t="inlineStr">
        <is>
          <t>WOS:001331936100001</t>
        </is>
      </c>
      <c r="BT11">
        <f>HYPERLINK("https%3A%2F%2Fwww.webofscience.com%2Fwos%2Fwoscc%2Ffull-record%2FWOS:001331936100001","View Full Record in Web of Science")</f>
        <v/>
      </c>
      <c r="BU11">
        <f>COUNTIF('오픈소스&amp;직접수집'!F:F,'wos(corecollection)_260528'!BE11)</f>
        <v/>
      </c>
      <c r="BV11">
        <f>COUNTIF('오픈소스&amp;직접수집'!A:A,'wos(corecollection)_260528'!I11)</f>
        <v/>
      </c>
      <c r="BW11">
        <f>SUM(BU11:BV11)</f>
        <v/>
      </c>
    </row>
    <row r="12">
      <c r="A12" s="4" t="inlineStr">
        <is>
          <t>netminer 검색</t>
        </is>
      </c>
      <c r="B12" t="inlineStr">
        <is>
          <t>Kim, J</t>
        </is>
      </c>
      <c r="F12" t="inlineStr">
        <is>
          <t>Kim, Jongwon</t>
        </is>
      </c>
      <c r="I12" t="inlineStr">
        <is>
          <t>Analysis of football research trends using text network analysis</t>
        </is>
      </c>
      <c r="J12" t="inlineStr">
        <is>
          <t>PLOS ONE</t>
        </is>
      </c>
      <c r="N12" t="inlineStr">
        <is>
          <t>Article</t>
        </is>
      </c>
      <c r="V12" t="inlineStr">
        <is>
          <t>This study was aimed to identify football research trends in various periods. A total of 30,946 football papers were collected from a representative academic database and search engine, the 'Web of Science'. Keyword refinement included filtering nouns, establishing synonyms and thesaurus, and excluding conjunctions, and the Cyram's Netminer 4.0 software was used for network analysis. A centrality analysis was conducted by extracting the words corresponding to the top 2% of the main research topics to obtain the degree and eigenvector centralities. The most frequently mentioned research keywords were injury, performance, and club. Keyword performance showed the highest degree centrality (0.294) and keyword world and cup showed the highest eigenvector centrality (0.710). The keyword with the highest eigenvector degree changed from injury in the 1990s and world in the 2000s to cup since the 2010s. Although various studies on football injuries have been conducted, research on the sport itself has recently been conducted. This study provides fundamental information on football trends from research published over the past 30 years.</t>
        </is>
      </c>
      <c r="W12" t="inlineStr">
        <is>
          <t>[Kim, Jongwon] Middlesex Univ, London Sport Inst, Sch Sci &amp; Technol, London, England</t>
        </is>
      </c>
      <c r="Y12" t="inlineStr">
        <is>
          <t>Kim, J (corresponding author), Middlesex Univ, London Sport Inst, Sch Sci &amp; Technol, London, England.</t>
        </is>
      </c>
      <c r="Z12" t="inlineStr">
        <is>
          <t>jongwonkim1229@gmail.com</t>
        </is>
      </c>
      <c r="AG12" t="n">
        <v>46</v>
      </c>
      <c r="AH12" t="n">
        <v>1</v>
      </c>
      <c r="AI12" t="n">
        <v>1</v>
      </c>
      <c r="AT12" t="inlineStr">
        <is>
          <t>APR 18</t>
        </is>
      </c>
      <c r="AU12" t="n">
        <v>2024</v>
      </c>
      <c r="AV12" t="n">
        <v>19</v>
      </c>
      <c r="AW12" t="n">
        <v>4</v>
      </c>
      <c r="BD12" t="inlineStr">
        <is>
          <t>e0299782</t>
        </is>
      </c>
      <c r="BE12" t="inlineStr">
        <is>
          <t>10.1371/journal.pone.0299782</t>
        </is>
      </c>
      <c r="BF12">
        <f>HYPERLINK("http://dx.doi.org/10.1371/journal.pone.0299782","http://dx.doi.org/10.1371/journal.pone.0299782")</f>
        <v/>
      </c>
      <c r="BR12" t="inlineStr">
        <is>
          <t>2026-05-29</t>
        </is>
      </c>
      <c r="BS12" t="inlineStr">
        <is>
          <t>WOS:001207320100096</t>
        </is>
      </c>
      <c r="BT12">
        <f>HYPERLINK("https%3A%2F%2Fwww.webofscience.com%2Fwos%2Fwoscc%2Ffull-record%2FWOS:001207320100096","View Full Record in Web of Science")</f>
        <v/>
      </c>
      <c r="BU12">
        <f>COUNTIF('오픈소스&amp;직접수집'!F:F,'wos(corecollection)_260528'!BE12)</f>
        <v/>
      </c>
      <c r="BV12">
        <f>COUNTIF('오픈소스&amp;직접수집'!A:A,'wos(corecollection)_260528'!I12)</f>
        <v/>
      </c>
      <c r="BW12">
        <f>SUM(BU12:BV12)</f>
        <v/>
      </c>
    </row>
    <row r="13">
      <c r="A13" s="4" t="inlineStr">
        <is>
          <t>netminer 검색</t>
        </is>
      </c>
      <c r="B13" t="inlineStr">
        <is>
          <t>Yuan, JF; Chen, KW; Li, W; Ji, C; Wang, ZR; Skibniewski, MJ</t>
        </is>
      </c>
      <c r="F13" t="inlineStr">
        <is>
          <t>Yuan, Jingfeng; Chen, Kaiwen; Li, Wei; Ji, Chuang; Wang, Zhiru; Skibniewski, Miroslaw J.</t>
        </is>
      </c>
      <c r="I13" t="inlineStr">
        <is>
          <t>Social network analysis for social risks of construction projects in high-density urban areas in China</t>
        </is>
      </c>
      <c r="J13" t="inlineStr">
        <is>
          <t>JOURNAL OF CLEANER PRODUCTION</t>
        </is>
      </c>
      <c r="N13" t="inlineStr">
        <is>
          <t>Article</t>
        </is>
      </c>
      <c r="V13" t="inlineStr">
        <is>
          <t>Social impacts have become increasingly important for urban development in China. In addition, unlike general construction projects, construction projects in high-density urban areas have high levels of complexity and uncertainty. Thus, from a network perspective, an improved social risk analysis theory and a method for these projects were generated in this paper. A case study involving 66 cases of social conflicts in construction projects in China was performed, and 16 social risk factors were summarized. Eight stakeholders related to these social risk factors were then identified based on a literature review and the case database. A theoretical model for social risk network analysis considering the interrelationships between stakeholders and risks was developed by using NetMiner, a social network analysis (SNA) tool. A 2-mode network and two 1-mode networks were used to analyze the relationships among the identified 16 social risk factors and 8 stakeholders. In terms of three-level challenges such as complex environments, the unreasonable behavior of individuals or organizations, and diversified interaction between behaviors and environments, the most important social risks of construction projects in high-density urban areas were explored to help the government implement effective social risk management measures. In addition, multiple, complicated relationships among residents, contractors, governmental authorities, and owners represented a major factor leading to social risk; therefore, more attention should be focused on this topic. The proposed social risk analysis method can increase the attention paid by project managers, governmental authorities, and project owners to social risk factors in high-density areas and provide a structured framework to analyze such social risks, as well as put forth possible solutions to reduce the social impacts on construction projects in high-density urban areas. (C) 2018 Elsevier Ltd. All rights reserved.</t>
        </is>
      </c>
      <c r="W13" t="inlineStr">
        <is>
          <t>[Yuan, Jingfeng] Southeast Univ, Dept Construct &amp; Real Estate, Nanjing 210096, Jiangsu, Peoples R China; [Chen, Kaiwen] Virginia Polytech Inst &amp; State Univ, Dept Bldg Construct, Blacksburg, VA 24061 USA; [Li, Wei] Southeast Univ, Sch Civil Engn, Dept Construct &amp; Real Estate, Nanjing 210096, Jiangsu, Peoples R China; [Ji, Chuang] Longyuan Future City Investment &amp; Management Co L, Investment Dev Dept, Shanghai 200072, Peoples R China; [Wang, Zhiru] Univ Sci &amp; Technol Beijing, Coll Econ &amp; Management, Beijing 100083, Peoples R China; [Skibniewski, Miroslaw J.] Univ Maryland, Dept Civil &amp; Environm Engn, College Pk, MD 20742 USA; [Skibniewski, Miroslaw J.] Polish Acad Sci, Inst Theoret &amp; Appl Informat, Gliwice, Poland; [Skibniewski, Miroslaw J.] Chaoyang Univ Technol, Taichung, Taiwan</t>
        </is>
      </c>
      <c r="Y13" t="inlineStr">
        <is>
          <t>Yuan, JF (corresponding author), Southeast Univ, Dept Construct &amp; Real Estate, Nanjing 210096, Jiangsu, Peoples R China.</t>
        </is>
      </c>
      <c r="Z13" t="inlineStr">
        <is>
          <t>jingfeng-yuan@seu.edu.cn; kwchen16@vt.edu; leewei0842@163.com; ji.chuang@hotmail.com; wangzhiru@ustb.edu.cn; mirek@umd.edu</t>
        </is>
      </c>
      <c r="AG13" t="n">
        <v>78</v>
      </c>
      <c r="AH13" t="n">
        <v>125</v>
      </c>
      <c r="AI13" t="n">
        <v>141</v>
      </c>
      <c r="AT13" t="inlineStr">
        <is>
          <t>OCT 10</t>
        </is>
      </c>
      <c r="AU13" t="n">
        <v>2018</v>
      </c>
      <c r="AV13" t="n">
        <v>198</v>
      </c>
      <c r="BB13" t="n">
        <v>940</v>
      </c>
      <c r="BC13" t="n">
        <v>961</v>
      </c>
      <c r="BE13" t="inlineStr">
        <is>
          <t>10.1016/j.jclepro.2018.07.109</t>
        </is>
      </c>
      <c r="BF13">
        <f>HYPERLINK("http://dx.doi.org/10.1016/j.jclepro.2018.07.109","http://dx.doi.org/10.1016/j.jclepro.2018.07.109")</f>
        <v/>
      </c>
      <c r="BR13" t="inlineStr">
        <is>
          <t>2026-05-29</t>
        </is>
      </c>
      <c r="BS13" t="inlineStr">
        <is>
          <t>WOS:000442973100082</t>
        </is>
      </c>
      <c r="BT13">
        <f>HYPERLINK("https%3A%2F%2Fwww.webofscience.com%2Fwos%2Fwoscc%2Ffull-record%2FWOS:000442973100082","View Full Record in Web of Science")</f>
        <v/>
      </c>
      <c r="BU13">
        <f>COUNTIF('오픈소스&amp;직접수집'!F:F,'wos(corecollection)_260528'!BE13)</f>
        <v/>
      </c>
      <c r="BV13">
        <f>COUNTIF('오픈소스&amp;직접수집'!A:A,'wos(corecollection)_260528'!I13)</f>
        <v/>
      </c>
      <c r="BW13">
        <f>SUM(BU13:BV13)</f>
        <v/>
      </c>
    </row>
    <row r="14">
      <c r="A14" s="4" t="inlineStr">
        <is>
          <t>netminer 검색</t>
        </is>
      </c>
      <c r="B14" t="inlineStr">
        <is>
          <t>Morashti, JA; An, Y; Jang, H</t>
        </is>
      </c>
      <c r="F14" t="inlineStr">
        <is>
          <t>Morashti, Jonathan Asher; An, Youra; Jang, Hyunmi</t>
        </is>
      </c>
      <c r="I14" t="inlineStr">
        <is>
          <t>A Systematic Literature Review of Sustainable Packaging in Supply Chain Management</t>
        </is>
      </c>
      <c r="J14" t="inlineStr">
        <is>
          <t>SUSTAINABILITY</t>
        </is>
      </c>
      <c r="N14" t="inlineStr">
        <is>
          <t>Article</t>
        </is>
      </c>
      <c r="V14" t="inlineStr">
        <is>
          <t>This exploratory study utilises quantitative analysis to deliver a systematic literature review of published journal papers from 1993 to 2020 with the aim to identify research trends and present a comprehensive overview of research focus conducted in the sustainable packaging domain within the scope of supply chain management. This research is conducted with the data mining software, NetMiner 4, utilising the three analytical tools of statistical analysis, keyword network analysis, and topic analysis. The research also utilises the qualitative method of in-depth interviews in order to investigate current trends and perspectives on the future of sustainable packaging and to validate the analysis results. The research findings reveal that research in the field of 'sustainable packaging in supply chain management' field has been extremely limited, and this study acts to address this research gap. The results confirm that the vast majority of research focus has been in the fields of engineering and science. Research on the topic has gained momentum and has significantly increased since 2013 with research trends becoming increasingly diversified and gradually aligned with the concept of circular economy, while the topic of operational management has been highlighted as an area requiring additional attention. The keyword frequency analysis reveals the following highest occurring keywords in TF: life cycle; environmental impact; consumer; transportation; and production. The highest occurring keywords in TF-IDF: production; transportation; consumer; food; and environmental impact. Topic modelling revealed the following six topics: consumer behaviour; environmental pollution; circular economy; waste management; resource conservation; and operational management. This study contributes to understanding past, present, and future research agendas, and can be utilised as foundation for research development, as it provides insight to current research status and trends provided by the keyword network analysis highlighting research focus and trends in 'sustainable packaging in supply chain management'.</t>
        </is>
      </c>
      <c r="W14" t="inlineStr">
        <is>
          <t>[Morashti, Jonathan Asher; An, Youra; Jang, Hyunmi] Pusan Natl Univ, Grad Sch Int Studies, Busan 46241, South Korea</t>
        </is>
      </c>
      <c r="Y14" t="inlineStr">
        <is>
          <t>Jang, H (corresponding author), Pusan Natl Univ, Grad Sch Int Studies, Busan 46241, South Korea.</t>
        </is>
      </c>
      <c r="Z14" t="inlineStr">
        <is>
          <t>jamorashti@pusan.ac.kr; youraan@pusan.ac.kr; jangh01@pusan.ac.kr</t>
        </is>
      </c>
      <c r="AG14" t="n">
        <v>61</v>
      </c>
      <c r="AH14" t="n">
        <v>36</v>
      </c>
      <c r="AI14" t="n">
        <v>41</v>
      </c>
      <c r="AT14" t="inlineStr">
        <is>
          <t>MAY</t>
        </is>
      </c>
      <c r="AU14" t="n">
        <v>2022</v>
      </c>
      <c r="AV14" t="n">
        <v>14</v>
      </c>
      <c r="AW14" t="n">
        <v>9</v>
      </c>
      <c r="BD14" t="n">
        <v>4921</v>
      </c>
      <c r="BE14" t="inlineStr">
        <is>
          <t>10.3390/su14094921</t>
        </is>
      </c>
      <c r="BF14">
        <f>HYPERLINK("http://dx.doi.org/10.3390/su14094921","http://dx.doi.org/10.3390/su14094921")</f>
        <v/>
      </c>
      <c r="BR14" t="inlineStr">
        <is>
          <t>2026-05-29</t>
        </is>
      </c>
      <c r="BS14" t="inlineStr">
        <is>
          <t>WOS:000794598300001</t>
        </is>
      </c>
      <c r="BT14">
        <f>HYPERLINK("https%3A%2F%2Fwww.webofscience.com%2Fwos%2Fwoscc%2Ffull-record%2FWOS:000794598300001","View Full Record in Web of Science")</f>
        <v/>
      </c>
      <c r="BU14">
        <f>COUNTIF('오픈소스&amp;직접수집'!F:F,'wos(corecollection)_260528'!BE14)</f>
        <v/>
      </c>
      <c r="BV14">
        <f>COUNTIF('오픈소스&amp;직접수집'!A:A,'wos(corecollection)_260528'!I14)</f>
        <v/>
      </c>
      <c r="BW14">
        <f>SUM(BU14:BV14)</f>
        <v/>
      </c>
    </row>
    <row r="15">
      <c r="A15" s="4" t="inlineStr">
        <is>
          <t>netminer 검색</t>
        </is>
      </c>
      <c r="B15" t="inlineStr">
        <is>
          <t>Kim, D; Kim, S</t>
        </is>
      </c>
      <c r="F15" t="inlineStr">
        <is>
          <t>Kim, Dongwook; Kim, Sungbum</t>
        </is>
      </c>
      <c r="I15" t="inlineStr">
        <is>
          <t>The Role of Mobile Technology in Tourism: Patents, Articles, News, and Mobile Tour App Reviews</t>
        </is>
      </c>
      <c r="J15" t="inlineStr">
        <is>
          <t>SUSTAINABILITY</t>
        </is>
      </c>
      <c r="N15" t="inlineStr">
        <is>
          <t>Review</t>
        </is>
      </c>
      <c r="V15" t="inlineStr">
        <is>
          <t>The purpose of this research is to identify the status and role of mobile technology in achieving sustainable and smart tourism, and to suggest future research and strategy directions for academia and managers in practice. This research utilized multiple sources, such as patents, academic articles, and news, and selected methodologies optimized for the purpose of each study. Study 1 used Netminer, a social network analysis program, to analyze the relationships between patent's International Patent Classification (IPC) codes. Study 2 used the T-LAB program for content analysis to analyze the texts of patents, journal articles, and news. Study 3 used the Leximancer program, which utilizes relative frequency to analyze mobile app consumer reviews. In study 1, we identified various forms of data related technologies and mobile technologies for smart city systems and maps. In study 2, we found the environment, sustainability, business, and market themes to be related to mobile technology. In study 3, we explored consumers' attitudes and preferences for mobile travel app using their reviews. Advances in mobile technology are expected to create innovative experiences for consumers, foster a sustainable competitive advantage for tourism destinations and tourism-related suppliers, and create sustainable competencies for smart tourism.</t>
        </is>
      </c>
      <c r="W15" t="inlineStr">
        <is>
          <t>[Kim, Dongwook] Korea Adv Inst Sci &amp; Technol, Grad Sch Innovat &amp; Technol Management, Daejeon 305701, South Korea; [Kim, Sungbum] Kumoh Natl Inst Technol, Dept IT Convergence, Gumi 730701, Gyungbuk, South Korea</t>
        </is>
      </c>
      <c r="Y15" t="inlineStr">
        <is>
          <t>Kim, S (corresponding author), Kumoh Natl Inst Technol, Dept IT Convergence, Gumi 730701, Gyungbuk, South Korea.</t>
        </is>
      </c>
      <c r="Z15" t="inlineStr">
        <is>
          <t>heavenk1@kaist.ac.kr; it89@kumoh.ac.kr</t>
        </is>
      </c>
      <c r="AG15" t="n">
        <v>200</v>
      </c>
      <c r="AH15" t="n">
        <v>83</v>
      </c>
      <c r="AI15" t="n">
        <v>103</v>
      </c>
      <c r="AT15" t="inlineStr">
        <is>
          <t>NOV</t>
        </is>
      </c>
      <c r="AU15" t="n">
        <v>2017</v>
      </c>
      <c r="AV15" t="n">
        <v>9</v>
      </c>
      <c r="AW15" t="n">
        <v>11</v>
      </c>
      <c r="BD15" t="n">
        <v>2082</v>
      </c>
      <c r="BE15" t="inlineStr">
        <is>
          <t>10.3390/su9112082</t>
        </is>
      </c>
      <c r="BF15">
        <f>HYPERLINK("http://dx.doi.org/10.3390/su9112082","http://dx.doi.org/10.3390/su9112082")</f>
        <v/>
      </c>
      <c r="BR15" t="inlineStr">
        <is>
          <t>2026-05-29</t>
        </is>
      </c>
      <c r="BS15" t="inlineStr">
        <is>
          <t>WOS:000416793400161</t>
        </is>
      </c>
      <c r="BT15">
        <f>HYPERLINK("https%3A%2F%2Fwww.webofscience.com%2Fwos%2Fwoscc%2Ffull-record%2FWOS:000416793400161","View Full Record in Web of Science")</f>
        <v/>
      </c>
      <c r="BU15">
        <f>COUNTIF('오픈소스&amp;직접수집'!F:F,'wos(corecollection)_260528'!BE15)</f>
        <v/>
      </c>
      <c r="BV15">
        <f>COUNTIF('오픈소스&amp;직접수집'!A:A,'wos(corecollection)_260528'!I15)</f>
        <v/>
      </c>
      <c r="BW15">
        <f>SUM(BU15:BV15)</f>
        <v/>
      </c>
    </row>
    <row r="16">
      <c r="A16" s="4" t="inlineStr">
        <is>
          <t>netminer 검색</t>
        </is>
      </c>
      <c r="B16" t="inlineStr">
        <is>
          <t>Seon, SH; Jeong, HW; Ju, D; Lee, JA; Ahn, SH</t>
        </is>
      </c>
      <c r="F16" t="inlineStr">
        <is>
          <t>Seon, Sun Hee; Jeong, Hye Won; Ju, Deok; Lee, Jung A. A.; Ahn, Shin Hye</t>
        </is>
      </c>
      <c r="I16" t="inlineStr">
        <is>
          <t>Capturing New Nurses' Experiences and Supporting Critical Thinking Text Network Analysis of Critical Reflective Journals</t>
        </is>
      </c>
      <c r="J16" t="inlineStr">
        <is>
          <t>CIN-COMPUTERS INFORMATICS NURSING</t>
        </is>
      </c>
      <c r="N16" t="inlineStr">
        <is>
          <t>Article</t>
        </is>
      </c>
      <c r="V16" t="inlineStr">
        <is>
          <t>This study analyzed the contents of critical reflective journals written by new nurses during their orientations using a text network. This study aimed to find ways to reduce turnover and improve clinical field adaptability among new nurses. The authors analyzed the content of reflective journals written by 143 new nurses from March 2020 to January 2021. Text network analysis was performed using the NetMiner 4.4.3 program. After data preprocessing, frequency of occurrence, degree centrality, closeness centrality, betweenness centrality, and eigenvector community were analyzed. In total, 453 words were extracted and refined, and words with high simple frequency and centrality were incompetence, preparation, explanation, injection, time, examination, and first try. Medication had the highest frequency of occurrence, and incompetence was the most important keyword in the centrality analysis. In addition, component analysis and eigenvector community analysis revealed three sub-theme groups: (1) basic nursing skills required for new nurses, (2) insufficient competency, and (3) explanation of nursing work. Significantly, this study is the first to use the text network method to analyze the subjective experiences of the critical reflective journals of new nurses. In conclusion, changes are needed to improve the education system for new nurses and promote efficient sharing of nursing tasks.</t>
        </is>
      </c>
      <c r="W16" t="inlineStr">
        <is>
          <t>[Seon, Sun Hee; Ju, Deok; Lee, Jung A. A.; Ahn, Shin Hye] Chonnam Natl Univ Hosp, Gwangju, South Korea; [Jeong, Hye Won] Chonnam Natl Univ, Chonnam Natl Univ Hosp, Gwangju, South Korea; [Jeong, Hye Won] Chonnam Nat Univ Hosp, Dept Nursing, 42 Jebong Ro, Gwangju 61469, South Korea; [Jeong, Hye Won] Chonnam Natl Univ, Coll Nursing, 160 Baekseo Ro, Gwangju 61469, South Korea</t>
        </is>
      </c>
      <c r="Y16" t="inlineStr">
        <is>
          <t>Jeong, HW (corresponding author), Chonnam Nat Univ Hosp, Dept Nursing, 42 Jebong Ro, Gwangju 61469, South Korea.;Jeong, HW (corresponding author), Chonnam Natl Univ, Coll Nursing, 160 Baekseo Ro, Gwangju 61469, South Korea.</t>
        </is>
      </c>
      <c r="Z16" t="inlineStr">
        <is>
          <t>seon00509@hanmail.net; y2k331646@gmail.com; juyulianna@hanmail.net; cuttylja@hanmail.net; chunyanggirl@naver.com</t>
        </is>
      </c>
      <c r="AG16" t="n">
        <v>40</v>
      </c>
      <c r="AH16" t="n">
        <v>6</v>
      </c>
      <c r="AI16" t="n">
        <v>7</v>
      </c>
      <c r="AT16" t="inlineStr">
        <is>
          <t>JUN</t>
        </is>
      </c>
      <c r="AU16" t="n">
        <v>2023</v>
      </c>
      <c r="AV16" t="n">
        <v>41</v>
      </c>
      <c r="AW16" t="n">
        <v>6</v>
      </c>
      <c r="BB16" t="n">
        <v>434</v>
      </c>
      <c r="BC16" t="n">
        <v>441</v>
      </c>
      <c r="BE16" t="inlineStr">
        <is>
          <t>10.1097/CIN.0000000000000971</t>
        </is>
      </c>
      <c r="BF16">
        <f>HYPERLINK("http://dx.doi.org/10.1097/CIN.0000000000000971","http://dx.doi.org/10.1097/CIN.0000000000000971")</f>
        <v/>
      </c>
      <c r="BR16" t="inlineStr">
        <is>
          <t>2026-05-29</t>
        </is>
      </c>
      <c r="BS16" t="inlineStr">
        <is>
          <t>WOS:001000492200010</t>
        </is>
      </c>
      <c r="BT16">
        <f>HYPERLINK("https%3A%2F%2Fwww.webofscience.com%2Fwos%2Fwoscc%2Ffull-record%2FWOS:001000492200010","View Full Record in Web of Science")</f>
        <v/>
      </c>
      <c r="BU16">
        <f>COUNTIF('오픈소스&amp;직접수집'!F:F,'wos(corecollection)_260528'!BE16)</f>
        <v/>
      </c>
      <c r="BV16">
        <f>COUNTIF('오픈소스&amp;직접수집'!A:A,'wos(corecollection)_260528'!I16)</f>
        <v/>
      </c>
      <c r="BW16">
        <f>SUM(BU16:BV16)</f>
        <v/>
      </c>
    </row>
    <row r="17">
      <c r="A17" s="4" t="inlineStr">
        <is>
          <t>netminer 검색</t>
        </is>
      </c>
      <c r="B17" t="inlineStr">
        <is>
          <t>Kim, MS</t>
        </is>
      </c>
      <c r="F17" t="inlineStr">
        <is>
          <t>Kim, Mee Sook</t>
        </is>
      </c>
      <c r="I17" t="inlineStr">
        <is>
          <t>Topics model of overwork-related deaths in Korea and the implications of SDGs' decent work perspective</t>
        </is>
      </c>
      <c r="J17" t="inlineStr">
        <is>
          <t>SAFETY SCIENCE</t>
        </is>
      </c>
      <c r="N17" t="inlineStr">
        <is>
          <t>Article</t>
        </is>
      </c>
      <c r="V17" t="inlineStr">
        <is>
          <t>Objective: Through a text network analysis, this study examined major issues related to death from overwork reported in Korean media over the past ten years, focusing on essential workers, and examined the implications for Korean society from the perspective of decent work as described by the Sustainable Development Goals (SDGs). Methods: We retrieved 1,340 news articles from 52 media companies by searching for death from overwork as a keyword using the Big Kinds database operated by the Korea Press Foundation. A total of 4,627 nouns were extracted from news articles, and four topics were found by performing topic modeling using the NetMiner 4 program. We also examined the trend of topic ratios by year. Results: Between 2012 and 2015, 22-36 news articles were reported annually, and Topic 2 (recognition of death from overwork of public officials) was the most common. Between 2016 and 2019, 72-162 news articles were reported annually, and Topic 1 (postal workers' extended working hours) was the most common. Between 2020 and 2021, 314-441 news articles were reported annually, and Topic 3 (measures against industrial accidents of courier workers) and Topic 4 (courier sorting and labor union consensus) were the most common. Conclusion: In Korea, postal workers, public officials, and courier workers are vulnerable to death from overwork. This can be resolved by considerably reducing working hours, recognizing industrial accidents, and improving the working environment. From the perspective of the United Nations Development Programme (UNDP) SDGs' decent work concept, to sustain workers' health and well-being, the State and companies should guarantee workers healthy working hours, choice of working hours, guarantee of decent and productive work, and maximum working hours cap system. The labor system and workplace culture should be improved to guarantee workers' health and well-being.</t>
        </is>
      </c>
      <c r="W17" t="inlineStr">
        <is>
          <t>[Kim, Mee Sook] Catholic Kkottongnae Univ, Dept Liberal Arts, 33 Sangsam gil, Cheongju Shi 28211, South Korea</t>
        </is>
      </c>
      <c r="Y17" t="inlineStr">
        <is>
          <t>Kim, MS (corresponding author), Catholic Kkottongnae Univ, Dept Liberal Arts, 33 Sangsam gil, Cheongju Shi 28211, South Korea.</t>
        </is>
      </c>
      <c r="Z17" t="inlineStr">
        <is>
          <t>mskjeon@kkot.ac.kr</t>
        </is>
      </c>
      <c r="AG17" t="n">
        <v>39</v>
      </c>
      <c r="AH17" t="n">
        <v>6</v>
      </c>
      <c r="AI17" t="n">
        <v>7</v>
      </c>
      <c r="AT17" t="inlineStr">
        <is>
          <t>OCT</t>
        </is>
      </c>
      <c r="AU17" t="n">
        <v>2023</v>
      </c>
      <c r="AV17" t="n">
        <v>166</v>
      </c>
      <c r="BD17" t="n">
        <v>106239</v>
      </c>
      <c r="BE17" t="inlineStr">
        <is>
          <t>10.1016/j.ssci.2023.106239</t>
        </is>
      </c>
      <c r="BF17">
        <f>HYPERLINK("http://dx.doi.org/10.1016/j.ssci.2023.106239","http://dx.doi.org/10.1016/j.ssci.2023.106239")</f>
        <v/>
      </c>
      <c r="BH17" t="inlineStr">
        <is>
          <t>JUN 2023</t>
        </is>
      </c>
      <c r="BR17" t="inlineStr">
        <is>
          <t>2026-05-29</t>
        </is>
      </c>
      <c r="BS17" t="inlineStr">
        <is>
          <t>WOS:001030993100001</t>
        </is>
      </c>
      <c r="BT17">
        <f>HYPERLINK("https%3A%2F%2Fwww.webofscience.com%2Fwos%2Fwoscc%2Ffull-record%2FWOS:001030993100001","View Full Record in Web of Science")</f>
        <v/>
      </c>
      <c r="BU17">
        <f>COUNTIF('오픈소스&amp;직접수집'!F:F,'wos(corecollection)_260528'!BE17)</f>
        <v/>
      </c>
      <c r="BV17">
        <f>COUNTIF('오픈소스&amp;직접수집'!A:A,'wos(corecollection)_260528'!I17)</f>
        <v/>
      </c>
      <c r="BW17">
        <f>SUM(BU17:BV17)</f>
        <v/>
      </c>
    </row>
    <row r="18">
      <c r="A18" s="4" t="inlineStr">
        <is>
          <t>netminer 검색</t>
        </is>
      </c>
      <c r="B18" t="inlineStr">
        <is>
          <t>Lin, X; Ho, CMF; Shen, GQP</t>
        </is>
      </c>
      <c r="F18" t="inlineStr">
        <is>
          <t>Lin, Xue; Ho, Christabel M. F.; Shen, Geoffrey Q. P.</t>
        </is>
      </c>
      <c r="I18" t="inlineStr">
        <is>
          <t>Who should take the responsibility? Stakeholders' power over social responsibility issues in construction projects</t>
        </is>
      </c>
      <c r="J18" t="inlineStr">
        <is>
          <t>JOURNAL OF CLEANER PRODUCTION</t>
        </is>
      </c>
      <c r="N18" t="inlineStr">
        <is>
          <t>Article</t>
        </is>
      </c>
      <c r="V18" t="inlineStr">
        <is>
          <t>Construction projects involve multiple stakeholders with different abilities that enable them to deal with the social problems that arise during the project lifecycle. This research aims to study the dynamic stakeholder power in implementing social responsibility issues in construction projects. Empirical research among Hong Kong construction industry practitioners was conducted to investigate the powers of seven stakeholders over thirty-five social responsibility issues. The data was analyzed using two-mode social network analysis methods and processed by Netminer 4. It was found from the results that internal and external stakeholders have control in different domains pertaining to social responsibility issues, but it does not mean either group has superior power. Ranked by the power status on social responsibility issues, the seven stakeholders are classified into five hierarchies: 1) governments, developers, and main contractors; 2) district councils, 3) consultants; 4) non-government organizations; 5) end users. The dynamic nature of stakeholders' powers has been elucidated by describing the power changes in different project stages, as well as in different social responsibility dimensions. (C) 2017 Elsevier Ltd. All rights reserved.</t>
        </is>
      </c>
      <c r="W18" t="inlineStr">
        <is>
          <t>[Lin, Xue; Ho, Christabel M. F.; Shen, Geoffrey Q. P.] Hong Kong Polytech Univ, Dept Bldg &amp; Real Estate, Hong Kong, Hong Kong, Peoples R China</t>
        </is>
      </c>
      <c r="Y18" t="inlineStr">
        <is>
          <t>Lin, X (corresponding author), Hong Kong Polytech Univ, Dept Bldg &amp; Real Estate, Hong Kong, Hong Kong, Peoples R China.</t>
        </is>
      </c>
      <c r="Z18" t="inlineStr">
        <is>
          <t>xue.lin@connect.polyu.hk; man.fong.ho@polyu.edu.hk; geoffrey.shen@polyu.edu.hk</t>
        </is>
      </c>
      <c r="AG18" t="n">
        <v>69</v>
      </c>
      <c r="AH18" t="n">
        <v>73</v>
      </c>
      <c r="AI18" t="n">
        <v>82</v>
      </c>
      <c r="AT18" t="inlineStr">
        <is>
          <t>JUN 15</t>
        </is>
      </c>
      <c r="AU18" t="n">
        <v>2017</v>
      </c>
      <c r="AV18" t="n">
        <v>154</v>
      </c>
      <c r="BB18" t="n">
        <v>318</v>
      </c>
      <c r="BC18" t="n">
        <v>329</v>
      </c>
      <c r="BE18" t="inlineStr">
        <is>
          <t>10.1016/j.jclepro.2017.04.007</t>
        </is>
      </c>
      <c r="BF18">
        <f>HYPERLINK("http://dx.doi.org/10.1016/j.jclepro.2017.04.007","http://dx.doi.org/10.1016/j.jclepro.2017.04.007")</f>
        <v/>
      </c>
      <c r="BR18" t="inlineStr">
        <is>
          <t>2026-05-29</t>
        </is>
      </c>
      <c r="BS18" t="inlineStr">
        <is>
          <t>WOS:000401201900031</t>
        </is>
      </c>
      <c r="BT18">
        <f>HYPERLINK("https%3A%2F%2Fwww.webofscience.com%2Fwos%2Fwoscc%2Ffull-record%2FWOS:000401201900031","View Full Record in Web of Science")</f>
        <v/>
      </c>
      <c r="BU18">
        <f>COUNTIF('오픈소스&amp;직접수집'!F:F,'wos(corecollection)_260528'!BE18)</f>
        <v/>
      </c>
      <c r="BV18">
        <f>COUNTIF('오픈소스&amp;직접수집'!A:A,'wos(corecollection)_260528'!I18)</f>
        <v/>
      </c>
      <c r="BW18">
        <f>SUM(BU18:BV18)</f>
        <v/>
      </c>
    </row>
    <row r="19">
      <c r="A19" s="4" t="inlineStr">
        <is>
          <t>netminer 검색</t>
        </is>
      </c>
      <c r="B19" t="inlineStr">
        <is>
          <t>Song, MK; Moon, JE; Jang, A</t>
        </is>
      </c>
      <c r="F19" t="inlineStr">
        <is>
          <t>Song, Miok; Moon, Jeong Eun; Jang, Aeri</t>
        </is>
      </c>
      <c r="I19" t="inlineStr">
        <is>
          <t>Text Network Analysis of Research Topics and Trends on Simulations Using Virtual Patients in Nursing Education</t>
        </is>
      </c>
      <c r="J19" t="inlineStr">
        <is>
          <t>CIN-COMPUTERS INFORMATICS NURSING</t>
        </is>
      </c>
      <c r="N19" t="inlineStr">
        <is>
          <t>Article</t>
        </is>
      </c>
      <c r="V19" t="inlineStr">
        <is>
          <t>Simulations using virtual patients have been utilized as an effective method in nursing education. However, keyword network analyses and topic modeling on simulations using virtual patients in nursing education have not yet been performed. In this study, 213 articles were retrieved from online research article databases. Abstracts from these articles were extracted, and network analysis was conducted using NetMiner version 4.3 (Cyram Inc, Seongnam, South Korea). Based on the study's analysis, scenario, communication, system, assessment, person, disaster, and management were identified as the keywords with high centrality values. Therefore, they were determined to be influential in the network. After topic modeling, 10 topics were derived as dementia care competency, pain assessment, airway placement management, operating procedure, presence and satisfaction, communication and attitude improvement, platform world, disaster response, game and video usability, and system for confidence. The identified trends in this study will help grasp the trends and insight to guide future research directions on simulations using virtual patients in nursing education.</t>
        </is>
      </c>
      <c r="W19" t="inlineStr">
        <is>
          <t>[Song, Miok; Jang, Aeri] Honam Univ, Dept Nursing, Gwangju, South Korea; [Moon, Jeong Eun] Honam Univ, Dept Nursing, 120 Honamdae Gil, Gwangju 62399, South Korea</t>
        </is>
      </c>
      <c r="Y19" t="inlineStr">
        <is>
          <t>Moon, JE (corresponding author), Honam Univ, Dept Nursing, 120 Honamdae Gil, Gwangju 62399, South Korea.</t>
        </is>
      </c>
      <c r="Z19" t="inlineStr">
        <is>
          <t>coffeesong79@gmail.com; moonjohan@gmail.com; sseillerjjang79@gmail.com</t>
        </is>
      </c>
      <c r="AG19" t="n">
        <v>37</v>
      </c>
      <c r="AH19" t="n">
        <v>2</v>
      </c>
      <c r="AI19" t="n">
        <v>2</v>
      </c>
      <c r="AT19" t="inlineStr">
        <is>
          <t>SEP</t>
        </is>
      </c>
      <c r="AU19" t="n">
        <v>2023</v>
      </c>
      <c r="AV19" t="n">
        <v>41</v>
      </c>
      <c r="AW19" t="n">
        <v>9</v>
      </c>
      <c r="BB19" t="n">
        <v>639</v>
      </c>
      <c r="BC19" t="n">
        <v>646</v>
      </c>
      <c r="BE19" t="inlineStr">
        <is>
          <t>10.1097/CIN.0000000000000993</t>
        </is>
      </c>
      <c r="BF19">
        <f>HYPERLINK("http://dx.doi.org/10.1097/CIN.0000000000000993","http://dx.doi.org/10.1097/CIN.0000000000000993")</f>
        <v/>
      </c>
      <c r="BR19" t="inlineStr">
        <is>
          <t>2026-05-29</t>
        </is>
      </c>
      <c r="BS19" t="inlineStr">
        <is>
          <t>WOS:001064261000003</t>
        </is>
      </c>
      <c r="BT19">
        <f>HYPERLINK("https%3A%2F%2Fwww.webofscience.com%2Fwos%2Fwoscc%2Ffull-record%2FWOS:001064261000003","View Full Record in Web of Science")</f>
        <v/>
      </c>
      <c r="BU19">
        <f>COUNTIF('오픈소스&amp;직접수집'!F:F,'wos(corecollection)_260528'!BE19)</f>
        <v/>
      </c>
      <c r="BV19">
        <f>COUNTIF('오픈소스&amp;직접수집'!A:A,'wos(corecollection)_260528'!I19)</f>
        <v/>
      </c>
      <c r="BW19">
        <f>SUM(BU19:BV19)</f>
        <v/>
      </c>
    </row>
    <row r="20">
      <c r="A20" s="4" t="inlineStr">
        <is>
          <t>netminer 검색</t>
        </is>
      </c>
      <c r="B20" t="inlineStr">
        <is>
          <t>Ahn, SH; Jeong, HW</t>
        </is>
      </c>
      <c r="F20" t="inlineStr">
        <is>
          <t>Ahn, Shin Hye; Jeong, Hye Won</t>
        </is>
      </c>
      <c r="I20" t="inlineStr">
        <is>
          <t>Content Analysis of Feedback Journals for New Nurses From Preceptor Nurses Using Text Network Analysis</t>
        </is>
      </c>
      <c r="J20" t="inlineStr">
        <is>
          <t>CIN-COMPUTERS INFORMATICS NURSING</t>
        </is>
      </c>
      <c r="N20" t="inlineStr">
        <is>
          <t>Article</t>
        </is>
      </c>
      <c r="V20" t="inlineStr">
        <is>
          <t>This study aimed to identify keywords, core topic areas, and subthemes by analyzing feedback journals written by preceptor nurses to new nurses during the preceptorship period and to derive implications through word clustering. A total of 143 preceptor nurses' feedback journals for new nurses from March 2020 to January 2021 were converted into a database using Microsoft Office Excel. Text network analysis was performed using the NetMiner 4.4.3 program. After data preprocessing, simple frequency, degree centrality, closeness centrality, betweenness centrality, and community modularity were analyzed. In the feedback journals, the most central words were study, medication, practice, nursing, method, need, and effort, whereas frustration, new nurses had low centrality. Five subthemes were derived: (1) learning necessity to strengthen new nurses' competency, (2) independence of new nurses, (3) emphasis on accuracy in nursing skills, (4) difficulties in understanding the nursing tasks expected of new nurses, and (5) basic competency of new nurses. The results of this study highlighted the experiences of new nurses and allowed for an assessment of journal feedback content provided by preceptor nurses. As such, the study provides basic data to develop a standardized education and competency empowerment program for preceptor nurses.</t>
        </is>
      </c>
      <c r="W20" t="inlineStr">
        <is>
          <t>[Ahn, Shin Hye; Jeong, Hye Won] Chonnam Natl Univ Hosp, Dept Nursing, Gwangju, South Korea; [Ahn, Shin Hye; Jeong, Hye Won] Chonnam Natl Univ, Coll Nursing, Gwangju, South Korea; [Jeong, Hye Won] Chonnam Natl Univ Hosp, Dept Nursing, 42 Jebong Ro, Gwangju 61469, South Korea; [Jeong, Hye Won] Chonnam Natl Univ, Coll Nursing, 160 Baekseo Ro, Gwangju 61469, South Korea</t>
        </is>
      </c>
      <c r="Y20" t="inlineStr">
        <is>
          <t>Jeong, HW (corresponding author), Chonnam Natl Univ Hosp, Dept Nursing, 42 Jebong Ro, Gwangju 61469, South Korea.;Jeong, HW (corresponding author), Chonnam Natl Univ, Coll Nursing, 160 Baekseo Ro, Gwangju 61469, South Korea.</t>
        </is>
      </c>
      <c r="Z20" t="inlineStr">
        <is>
          <t>chunyanggirl@naver.com; y2k331646@gmail.com</t>
        </is>
      </c>
      <c r="AG20" t="n">
        <v>40</v>
      </c>
      <c r="AH20" t="n">
        <v>2</v>
      </c>
      <c r="AI20" t="n">
        <v>4</v>
      </c>
      <c r="AT20" t="inlineStr">
        <is>
          <t>OCT</t>
        </is>
      </c>
      <c r="AU20" t="n">
        <v>2023</v>
      </c>
      <c r="AV20" t="n">
        <v>41</v>
      </c>
      <c r="AW20" t="n">
        <v>10</v>
      </c>
      <c r="BB20" t="n">
        <v>780</v>
      </c>
      <c r="BC20" t="n">
        <v>788</v>
      </c>
      <c r="BE20" t="inlineStr">
        <is>
          <t>10.1097/CIN.0000000000001040</t>
        </is>
      </c>
      <c r="BF20">
        <f>HYPERLINK("http://dx.doi.org/10.1097/CIN.0000000000001040","http://dx.doi.org/10.1097/CIN.0000000000001040")</f>
        <v/>
      </c>
      <c r="BR20" t="inlineStr">
        <is>
          <t>2026-05-29</t>
        </is>
      </c>
      <c r="BS20" t="inlineStr">
        <is>
          <t>WOS:001085260500007</t>
        </is>
      </c>
      <c r="BT20">
        <f>HYPERLINK("https%3A%2F%2Fwww.webofscience.com%2Fwos%2Fwoscc%2Ffull-record%2FWOS:001085260500007","View Full Record in Web of Science")</f>
        <v/>
      </c>
      <c r="BU20">
        <f>COUNTIF('오픈소스&amp;직접수집'!F:F,'wos(corecollection)_260528'!BE20)</f>
        <v/>
      </c>
      <c r="BV20">
        <f>COUNTIF('오픈소스&amp;직접수집'!A:A,'wos(corecollection)_260528'!I20)</f>
        <v/>
      </c>
      <c r="BW20">
        <f>SUM(BU20:BV20)</f>
        <v/>
      </c>
    </row>
    <row r="21">
      <c r="A21" s="4" t="inlineStr">
        <is>
          <t>netminer 검색</t>
        </is>
      </c>
      <c r="B21" t="inlineStr">
        <is>
          <t>Ha, JY; Park, HJ</t>
        </is>
      </c>
      <c r="F21" t="inlineStr">
        <is>
          <t>Ha, Ju-Young; Park, Hyo-Jin</t>
        </is>
      </c>
      <c r="I21" t="inlineStr">
        <is>
          <t>Keyword Network Analysis and Topic Modeling of News Articles Related to Artificial Intelligence and Nursing br</t>
        </is>
      </c>
      <c r="J21" t="inlineStr">
        <is>
          <t>JOURNAL OF KOREAN ACADEMY OF NURSING</t>
        </is>
      </c>
      <c r="N21" t="inlineStr">
        <is>
          <t>Article</t>
        </is>
      </c>
      <c r="V21" t="inlineStr">
        <is>
          <t>Purpose: The purpose of this study was to identify the main keywords, network properties, and main topics of news articles related to arti-ficial intelligence technology in the field of nursing.Methods: After collecting artificial intelligence-and nursing-related news articles pub-lished between January 1, 1991, and July 24, 2022, keywords were extracted via preprocessing. A total of 3,267 articles were searched, and 2,996 were used for the final analysis. Text network analysis and topic modeling were performed using NetMiner 4.4.Results: As a result of analyzing the frequency of appearance, the keywords used most frequently were education, medical robot, telecom, dementia, and the older adults living alone. Keyword network analysis revealed the following results: a density of 0.002, an average degree of 8.79, and an average distance of 2.43; the central keywords identified were 'education,' 'medical robot,' and 'fourth industry.' Five topics were derived from news articles related to artificial intelligence and nursing: 'Artificial intelligence nursing research and development in the health and medical field,' 'Education using artificial intelligence for children and youth care,' 'Nursing robot for older adults care,' 'Community care policy and artificial intelligence,' and 'Smart care technology in an aging society.'Conclusion: The use of artificial intelligence may be help-ful among the local community, older adult, children, and adolescents. In particular, health management using artificial intelligence is indis-pensable now that we are facing a super-aging society. In the future, studies on nursing intervention and development of nursing programs using artificial intelligence should be conducted</t>
        </is>
      </c>
      <c r="W21" t="inlineStr">
        <is>
          <t>[Ha, Ju-Young; Park, Hyo-Jin] Pusan Natl Univ, Coll Nursing, 49 Busandaehak Ro, Yangsan 50612, South Korea</t>
        </is>
      </c>
      <c r="Y21" t="inlineStr">
        <is>
          <t>Park, HJ (corresponding author), Pusan Natl Univ, Coll Nursing, 49 Busandaehak Ro, Yangsan 50612, South Korea.</t>
        </is>
      </c>
      <c r="Z21" t="inlineStr">
        <is>
          <t>hyojin@pusan.ac.kr</t>
        </is>
      </c>
      <c r="AG21" t="n">
        <v>50</v>
      </c>
      <c r="AH21" t="n">
        <v>2</v>
      </c>
      <c r="AI21" t="n">
        <v>3</v>
      </c>
      <c r="AT21" t="inlineStr">
        <is>
          <t>FEB</t>
        </is>
      </c>
      <c r="AU21" t="n">
        <v>2023</v>
      </c>
      <c r="AV21" t="n">
        <v>53</v>
      </c>
      <c r="AW21" t="n">
        <v>1</v>
      </c>
      <c r="BD21" t="n">
        <v>55</v>
      </c>
      <c r="BE21" t="inlineStr">
        <is>
          <t>10.4040/jkan.22117</t>
        </is>
      </c>
      <c r="BF21">
        <f>HYPERLINK("http://dx.doi.org/10.4040/jkan.22117","http://dx.doi.org/10.4040/jkan.22117")</f>
        <v/>
      </c>
      <c r="BR21" t="inlineStr">
        <is>
          <t>2026-05-29</t>
        </is>
      </c>
      <c r="BS21" t="inlineStr">
        <is>
          <t>WOS:000941874100005</t>
        </is>
      </c>
      <c r="BT21">
        <f>HYPERLINK("https%3A%2F%2Fwww.webofscience.com%2Fwos%2Fwoscc%2Ffull-record%2FWOS:000941874100005","View Full Record in Web of Science")</f>
        <v/>
      </c>
      <c r="BU21">
        <f>COUNTIF('오픈소스&amp;직접수집'!F:F,'wos(corecollection)_260528'!BE21)</f>
        <v/>
      </c>
      <c r="BV21">
        <f>COUNTIF('오픈소스&amp;직접수집'!A:A,'wos(corecollection)_260528'!I21)</f>
        <v/>
      </c>
      <c r="BW21">
        <f>SUM(BU21:BV21)</f>
        <v/>
      </c>
    </row>
    <row r="22">
      <c r="A22" s="4" t="inlineStr">
        <is>
          <t>netminer 검색</t>
        </is>
      </c>
      <c r="B22" t="inlineStr">
        <is>
          <t>Ko, HYJ; Jeong, SH; Lee, EJ; Kim, HS</t>
        </is>
      </c>
      <c r="F22" t="inlineStr">
        <is>
          <t>Ko, Hyunjung; Jeong, Seok Hee; Lee, Eun Jee; Kim, Hee Sun</t>
        </is>
      </c>
      <c r="I22" t="inlineStr">
        <is>
          <t>National Petition Analysis Related to Nursing: Text Network Analysis and Topic Modeling</t>
        </is>
      </c>
      <c r="J22" t="inlineStr">
        <is>
          <t>JOURNAL OF KOREAN ACADEMY OF NURSING</t>
        </is>
      </c>
      <c r="N22" t="inlineStr">
        <is>
          <t>Article</t>
        </is>
      </c>
      <c r="V22" t="inlineStr">
        <is>
          <t>Purpose: This study aimed to identify the main keyword, network structure, and main topics of the national petition related to nursing in South Korea. Methods: Data were gathered from petitions related to the national petition in Korea Blue House related to the topic nursing or nurse from August 17, 2017, to May 9, 2022. A total of 5,154 petitions were searched, and 995 were selected for the final analysis. Text network analysis and topic modeling were analyzed using the Netminer 4.5.0 program. Results: Regarding network charac-teristics, a density of 0.03, an average degree of 144.483, and an average distance of 1.943 were found. Compared to results of degree centrality and betweenness centrality, keywords such as work environment, nursing university, license, and education appeared typically in the eigenvector centrality analysis. Topic modeling derived four topics: (1) Improving the working environment and dealing with nursing professionals, (2) requesting investigation and punishment related to medical accidents, (3) requiring clear role regula-tion and legislation of medical and nonmedical professions, and (4) demanding improvement of healthcare-related systems and ser-vices. Conclusion: This is the first study to analyze Korea's national petitions in the field of nursing. This study's results confirmed both the internal needs and external demands for nurses in South Korea. Policies and laws that reflect these results should be developed.</t>
        </is>
      </c>
      <c r="W22" t="inlineStr">
        <is>
          <t>[Ko, Hyunjung] Jeonbuk Natl Univ, Grad Sch, Dept Nursing, Jeonju, South Korea; [Jeong, Seok Hee; Lee, Eun Jee; Kim, Hee Sun] Jeonbuk Natl Univ, Coll Nursing, Res Inst Nursing Sci, Jeonju, South Korea; [Ko, Hyunjung] Jeonbuk Natl Univ Hosp, Dept Nursing, Jeonju, South Korea; [Jeong, Seok Hee] Jeonbuk Natl Univ, Coll Nursing, Res Inst Nursing Sci, 567 Baekje Daero, Jeonju 54896, South Korea</t>
        </is>
      </c>
      <c r="Y22" t="inlineStr">
        <is>
          <t>Jeong, SH (corresponding author), Jeonbuk Natl Univ, Coll Nursing, Res Inst Nursing Sci, 567 Baekje Daero, Jeonju 54896, South Korea.</t>
        </is>
      </c>
      <c r="Z22" t="inlineStr">
        <is>
          <t>awesomeprof@jbnu.ac.kr</t>
        </is>
      </c>
      <c r="AG22" t="n">
        <v>50</v>
      </c>
      <c r="AH22" t="n">
        <v>1</v>
      </c>
      <c r="AI22" t="n">
        <v>1</v>
      </c>
      <c r="AT22" t="inlineStr">
        <is>
          <t>DEC</t>
        </is>
      </c>
      <c r="AU22" t="n">
        <v>2023</v>
      </c>
      <c r="AV22" t="n">
        <v>53</v>
      </c>
      <c r="AW22" t="n">
        <v>6</v>
      </c>
      <c r="BB22" t="n">
        <v>635</v>
      </c>
      <c r="BC22" t="n">
        <v>651</v>
      </c>
      <c r="BE22" t="inlineStr">
        <is>
          <t>10.4040/jkan.23052</t>
        </is>
      </c>
      <c r="BF22">
        <f>HYPERLINK("http://dx.doi.org/10.4040/jkan.23052","http://dx.doi.org/10.4040/jkan.23052")</f>
        <v/>
      </c>
      <c r="BR22" t="inlineStr">
        <is>
          <t>2026-05-29</t>
        </is>
      </c>
      <c r="BS22" t="inlineStr">
        <is>
          <t>WOS:001143408800002</t>
        </is>
      </c>
      <c r="BT22">
        <f>HYPERLINK("https%3A%2F%2Fwww.webofscience.com%2Fwos%2Fwoscc%2Ffull-record%2FWOS:001143408800002","View Full Record in Web of Science")</f>
        <v/>
      </c>
      <c r="BU22">
        <f>COUNTIF('오픈소스&amp;직접수집'!F:F,'wos(corecollection)_260528'!BE22)</f>
        <v/>
      </c>
      <c r="BV22">
        <f>COUNTIF('오픈소스&amp;직접수집'!A:A,'wos(corecollection)_260528'!I22)</f>
        <v/>
      </c>
      <c r="BW22">
        <f>SUM(BU22:BV22)</f>
        <v/>
      </c>
    </row>
    <row r="23">
      <c r="A23" s="4" t="inlineStr">
        <is>
          <t>netminer 검색</t>
        </is>
      </c>
      <c r="B23" t="inlineStr">
        <is>
          <t>Park, J; Han, AY</t>
        </is>
      </c>
      <c r="F23" t="inlineStr">
        <is>
          <t>Park, Jinkyung; Han, A. Young</t>
        </is>
      </c>
      <c r="I23" t="inlineStr">
        <is>
          <t>Medication safety education in nursing research: Text network analysis and topic modeling</t>
        </is>
      </c>
      <c r="J23" t="inlineStr">
        <is>
          <t>NURSE EDUCATION TODAY</t>
        </is>
      </c>
      <c r="N23" t="inlineStr">
        <is>
          <t>Review</t>
        </is>
      </c>
      <c r="V23" t="inlineStr">
        <is>
          <t>Objectives: This study aimed to identify the knowledge structure of medication safety nursing education literature by developing schematic diagrams of the relationship between keywords from a macro perspective. This study also identifies the research topics and trends over time.Design: This quantitative content study used text network analysis to explore keywords and research topics using topic modeling within the medication safety nursing education literature. Data sources: PubMed, EMBASE, and Cochrane databases were used to search for the medication safety nursing education literature published until December 2021.Methods: Keywords from 2085 articles were examined using text network analysis and topic modeling with NetMiner 4.4.3.Results: The keywords with the most frequency and the highest networking degree in centrality were patient, medication, program, nurse, and care. The emerging keywords assessed by time periods were identified; the first phase (heart failure, insulin, chemotherapy, and infusion), the second phase (medication er-rors, staff, and information), the third phase (program, management, and data). The results of topic modeling were as follows: safe medication administration, safe medication reconciliation process, medication education for patients, medication errors in nursing practice, and multidisciplinary teamwork for medication safety.Conclusion: These findings will help nursing researchers and educators to understand the trends and insights for medication safety education and educate future nurses to provide safer nursing care.</t>
        </is>
      </c>
      <c r="W23" t="inlineStr">
        <is>
          <t>[Park, Jinkyung] Chonnam Natl Univ, Coll Nursing, 160 Baekseo Ro, Gwangju 61469, South Korea; [Han, A. Young] Sunchon Natl Univ, Coll Life Sci &amp; Ind, Dept Nursing, 255 Jungang Ro, Suncheon Si 57922, Jeollanam Do, South Korea</t>
        </is>
      </c>
      <c r="Y23" t="inlineStr">
        <is>
          <t>Han, AY (corresponding author), Sunchon Natl Univ, Coll Life Sci &amp; Ind, Dept Nursing, 255 Jungang Ro, Suncheon Si 57922, Jeollanam Do, South Korea.</t>
        </is>
      </c>
      <c r="Z23" t="inlineStr">
        <is>
          <t>ayounghan@scnu.ac.kr</t>
        </is>
      </c>
      <c r="AG23" t="n">
        <v>92</v>
      </c>
      <c r="AH23" t="n">
        <v>10</v>
      </c>
      <c r="AI23" t="n">
        <v>13</v>
      </c>
      <c r="AT23" t="inlineStr">
        <is>
          <t>FEB</t>
        </is>
      </c>
      <c r="AU23" t="n">
        <v>2023</v>
      </c>
      <c r="AV23" t="n">
        <v>121</v>
      </c>
      <c r="BD23" t="n">
        <v>105674</v>
      </c>
      <c r="BE23" t="inlineStr">
        <is>
          <t>10.1016/j.nedt.2022.105674</t>
        </is>
      </c>
      <c r="BF23">
        <f>HYPERLINK("http://dx.doi.org/10.1016/j.nedt.2022.105674","http://dx.doi.org/10.1016/j.nedt.2022.105674")</f>
        <v/>
      </c>
      <c r="BH23" t="inlineStr">
        <is>
          <t>DEC 2022</t>
        </is>
      </c>
      <c r="BR23" t="inlineStr">
        <is>
          <t>2026-05-29</t>
        </is>
      </c>
      <c r="BS23" t="inlineStr">
        <is>
          <t>WOS:000902005400020</t>
        </is>
      </c>
      <c r="BT23">
        <f>HYPERLINK("https%3A%2F%2Fwww.webofscience.com%2Fwos%2Fwoscc%2Ffull-record%2FWOS:000902005400020","View Full Record in Web of Science")</f>
        <v/>
      </c>
      <c r="BU23">
        <f>COUNTIF('오픈소스&amp;직접수집'!F:F,'wos(corecollection)_260528'!BE23)</f>
        <v/>
      </c>
      <c r="BV23">
        <f>COUNTIF('오픈소스&amp;직접수집'!A:A,'wos(corecollection)_260528'!I23)</f>
        <v/>
      </c>
      <c r="BW23">
        <f>SUM(BU23:BV23)</f>
        <v/>
      </c>
    </row>
    <row r="24">
      <c r="A24" s="4" t="inlineStr">
        <is>
          <t>netminer 검색</t>
        </is>
      </c>
      <c r="B24" t="inlineStr">
        <is>
          <t>Park, Y; Park, S; Lee, MJ</t>
        </is>
      </c>
      <c r="F24" t="inlineStr">
        <is>
          <t>Park, Yoonseo; Park, Sewon; Lee, Munjae</t>
        </is>
      </c>
      <c r="I24" t="inlineStr">
        <is>
          <t>Digital Health Care Industry Ecosystem: Network Analysis</t>
        </is>
      </c>
      <c r="J24" t="inlineStr">
        <is>
          <t>JOURNAL OF MEDICAL INTERNET RESEARCH</t>
        </is>
      </c>
      <c r="N24" t="inlineStr">
        <is>
          <t>Article</t>
        </is>
      </c>
      <c r="V24" t="inlineStr">
        <is>
          <t>Background: As the need for digital health care based on mobile devices is increasing, with the rapid development of digital technologies, especially in the face of the COVID-19 pandemic, gaining a better understanding of the industrial structure is needed to activate the use of digital health care. Objective: The aim of this study was to suggest measures to revitalize the digital health care industry by deriving the stakeholders and major issues with respect to the ecosystem of the industry. Methods: A total of 1822 newspaper articles were collected using Big Kings, a big data system for news, for a limited period from 2016 to August 2021, when the mobile health care project was promoted in Korea centered on public health centers. The R and NetMiner programs were used for network analysis. Results: The Korean government and the Ministry of Health and Welfare showed the highest centrality and appeared as major stakeholders, and their common major issues were reviewing the introduction of telemedicine, concerns about bankruptcy of local clinics, and building an integrated platform for precision medicine. In addition, the major stakeholders of medical institutions and companies were Seoul National University Hospital, Kangbuk Samsung Hospital, Ajou University Hospital, Samsung, and Vuno Inc. Conclusions: This analysis confirmed that the issues related to digital health care are largely composed of telemedicine, data, and health care business. For digital health care to develop as a national innovative growth engine and to be institutionalized, the development of a digital health care fee model that can improve the regulatory system and the cost-effectiveness of patient care, centering on the Ministry of Health and Welfare as a key stakeholder, is essential.</t>
        </is>
      </c>
      <c r="W24" t="inlineStr">
        <is>
          <t>[Park, Yoonseo] Ajou Univ, Dept BioMed Engn, Suwon, South Korea; [Park, Sewon; Lee, Munjae] Ajou Univ, Dept Med Humanities &amp; Social Med, Sch Med, Suwon, South Korea; [Lee, Munjae] Ajou Univ, Sch Med, Dept Med Humanities &amp; Social Med, 206 World Cup Ro, Suwon 16499, Gyeonggi Do, South Korea</t>
        </is>
      </c>
      <c r="Y24" t="inlineStr">
        <is>
          <t>Lee, MJ (corresponding author), Ajou Univ, Sch Med, Dept Med Humanities &amp; Social Med, 206 World Cup Ro, Suwon 16499, Gyeonggi Do, South Korea.</t>
        </is>
      </c>
      <c r="Z24" t="inlineStr">
        <is>
          <t>emunjae@ajou.ac.kr</t>
        </is>
      </c>
      <c r="AG24" t="n">
        <v>40</v>
      </c>
      <c r="AH24" t="n">
        <v>12</v>
      </c>
      <c r="AI24" t="n">
        <v>14</v>
      </c>
      <c r="AT24" t="inlineStr">
        <is>
          <t>AUG 22</t>
        </is>
      </c>
      <c r="AU24" t="n">
        <v>2022</v>
      </c>
      <c r="AV24" t="n">
        <v>24</v>
      </c>
      <c r="AW24" t="n">
        <v>8</v>
      </c>
      <c r="BD24" t="inlineStr">
        <is>
          <t>e37622</t>
        </is>
      </c>
      <c r="BE24" t="inlineStr">
        <is>
          <t>10.2196/37622</t>
        </is>
      </c>
      <c r="BF24">
        <f>HYPERLINK("http://dx.doi.org/10.2196/37622","http://dx.doi.org/10.2196/37622")</f>
        <v/>
      </c>
      <c r="BR24" t="inlineStr">
        <is>
          <t>2026-05-29</t>
        </is>
      </c>
      <c r="BS24" t="inlineStr">
        <is>
          <t>WOS:000862887700019</t>
        </is>
      </c>
      <c r="BT24">
        <f>HYPERLINK("https%3A%2F%2Fwww.webofscience.com%2Fwos%2Fwoscc%2Ffull-record%2FWOS:000862887700019","View Full Record in Web of Science")</f>
        <v/>
      </c>
      <c r="BU24">
        <f>COUNTIF('오픈소스&amp;직접수집'!F:F,'wos(corecollection)_260528'!BE24)</f>
        <v/>
      </c>
      <c r="BV24">
        <f>COUNTIF('오픈소스&amp;직접수집'!A:A,'wos(corecollection)_260528'!I24)</f>
        <v/>
      </c>
      <c r="BW24">
        <f>SUM(BU24:BV24)</f>
        <v/>
      </c>
    </row>
    <row r="25">
      <c r="A25" s="4" t="inlineStr">
        <is>
          <t>netminer 검색</t>
        </is>
      </c>
      <c r="B25" t="inlineStr">
        <is>
          <t>Park, MY; Jeong, SH; Kim, HS; Lee, EJ</t>
        </is>
      </c>
      <c r="F25" t="inlineStr">
        <is>
          <t>Park, Min Young; Jeong, Seok Hee; Kim, Hee Sun; Lee, Eun Jee</t>
        </is>
      </c>
      <c r="I25" t="inlineStr">
        <is>
          <t>Images of Nurses Appeared in Media Reports Before and After Outbreak of COVID-19: Text Network Analysis and Topic Modeling</t>
        </is>
      </c>
      <c r="J25" t="inlineStr">
        <is>
          <t>JOURNAL OF KOREAN ACADEMY OF NURSING</t>
        </is>
      </c>
      <c r="N25" t="inlineStr">
        <is>
          <t>Article; Proceedings Paper</t>
        </is>
      </c>
      <c r="O25" t="inlineStr">
        <is>
          <t>Yonsei International Nursing Conference</t>
        </is>
      </c>
      <c r="P25" t="inlineStr">
        <is>
          <t>NOV, 2021</t>
        </is>
      </c>
      <c r="Q25" t="inlineStr">
        <is>
          <t>Seoul, SOUTH KOREA</t>
        </is>
      </c>
      <c r="V25" t="inlineStr">
        <is>
          <t>Purpose: The aims of study were to identify the main keywords, the network structure, and the main topics of press articles related to nurses that have appeared in media reports. Methods: Data were media articles related to the topic nurse reported in 16 central media within a one-year period spanning July 1, 2019 to June 30, 2020. Data were collected from the Big Kinds database. A total of 7,800 articles were searched, and 1,038 were used for the final analysis. Text network analysis and topic modeling were performed using NetMiner 4.4. Results: The number of media reports related to nurses increased by 3.86 times after the novel coronavirus (COVID-19) outbreak compared to prior. Pre- and post-COVID-19 network characteristics were density 0.002, 0.001; average degree 4.63, 4.92; and average distance 4.25, 4.01, respectively. Four topics were derived before and after the COVID-19 outbreak, respectively. Pre-COVID-19 example topics are a nurse who committed suicide because she could not withstand the Taewoom at work and a nurse as a perpetrator of a newborn abuse case, while post-COVID-19 examples are a nurse as a victim of COVID-19, a nurse working with the support of the people, and a nurse as a top contributor and a warrior to protect from COVID-19. Conclusion: Topic modeling shows that topics become more positive after the COVID-19 outbreak. Individual nurses and nursing organizations should continuously monitor and conduct further research on nurses' image.</t>
        </is>
      </c>
      <c r="W25" t="inlineStr">
        <is>
          <t>[Park, Min Young] Jeonbuk Natl Univ Hosp, Dept Nursing, Jeonju, South Korea; [Jeong, Seok Hee; Kim, Hee Sun; Lee, Eun Jee] Jeonbuk Natl Univ, Res Inst Nursing Sci, Coll Nursing, 567 Baekje Daero, Jeonju 54896, South Korea</t>
        </is>
      </c>
      <c r="Y25" t="inlineStr">
        <is>
          <t>Jeong, SH (corresponding author), Jeonbuk Natl Univ, Res Inst Nursing Sci, Coll Nursing, 567 Baekje Daero, Jeonju 54896, South Korea.</t>
        </is>
      </c>
      <c r="Z25" t="inlineStr">
        <is>
          <t>awesomeprof@jbnu.ac.kr</t>
        </is>
      </c>
      <c r="AG25" t="n">
        <v>53</v>
      </c>
      <c r="AH25" t="n">
        <v>11</v>
      </c>
      <c r="AI25" t="n">
        <v>15</v>
      </c>
      <c r="AT25" t="inlineStr">
        <is>
          <t>JUN</t>
        </is>
      </c>
      <c r="AU25" t="n">
        <v>2022</v>
      </c>
      <c r="AV25" t="n">
        <v>52</v>
      </c>
      <c r="AW25" t="n">
        <v>3</v>
      </c>
      <c r="BB25" t="n">
        <v>291</v>
      </c>
      <c r="BC25" t="n">
        <v>307</v>
      </c>
      <c r="BE25" t="inlineStr">
        <is>
          <t>10.4040/jkan.22002</t>
        </is>
      </c>
      <c r="BF25">
        <f>HYPERLINK("http://dx.doi.org/10.4040/jkan.22002","http://dx.doi.org/10.4040/jkan.22002")</f>
        <v/>
      </c>
      <c r="BR25" t="inlineStr">
        <is>
          <t>2026-05-29</t>
        </is>
      </c>
      <c r="BS25" t="inlineStr">
        <is>
          <t>WOS:000819133000004</t>
        </is>
      </c>
      <c r="BT25">
        <f>HYPERLINK("https%3A%2F%2Fwww.webofscience.com%2Fwos%2Fwoscc%2Ffull-record%2FWOS:000819133000004","View Full Record in Web of Science")</f>
        <v/>
      </c>
      <c r="BU25">
        <f>COUNTIF('오픈소스&amp;직접수집'!F:F,'wos(corecollection)_260528'!BE25)</f>
        <v/>
      </c>
      <c r="BV25">
        <f>COUNTIF('오픈소스&amp;직접수집'!A:A,'wos(corecollection)_260528'!I25)</f>
        <v/>
      </c>
      <c r="BW25">
        <f>SUM(BU25:BV25)</f>
        <v/>
      </c>
    </row>
    <row r="26">
      <c r="A26" s="4" t="inlineStr">
        <is>
          <t>netminer 검색</t>
        </is>
      </c>
      <c r="B26" t="inlineStr">
        <is>
          <t>Lee, JL; Kim, Y</t>
        </is>
      </c>
      <c r="F26" t="inlineStr">
        <is>
          <t>Lee, Jung Lim; Kim, Youngji</t>
        </is>
      </c>
      <c r="I26" t="inlineStr">
        <is>
          <t>Research Topic Trends on Turnover Intention among Korean Registered Nurses: An Analysis Using Topic Modeling</t>
        </is>
      </c>
      <c r="J26" t="inlineStr">
        <is>
          <t>HEALTHCARE</t>
        </is>
      </c>
      <c r="N26" t="inlineStr">
        <is>
          <t>Article</t>
        </is>
      </c>
      <c r="V26" t="inlineStr">
        <is>
          <t>This study aimed to explore research topic trends on turnover intention among Korean hospital nurses by analyzing the keywords and topics of related articles. Methods: This text-mining study collected, processed, and analyzed text data from 390 nursing articles published between 1 January 2010 and 30 June 2021 that were collected via search engines. The collected unstructured text data were preprocessed, and the NetMiner program was used to perform keyword analysis and topic modeling. Results: The word with the highest degree centrality was job satisfaction, the word with the highest betweenness centrality was job satisfaction, and the word with the highest closeness centrality and frequency was job stress. The top 10 keywords in both the frequency analysis and the 3 centrality analyses included job stress, burnout, organizational commitment, emotional labor, job, and job embeddedness. The 676 preprocessed key words were categorized into five topics: job, burnout, workplace bullying, job stress, and emotional labor. Since many individual-level factors have already been thoroughly investigated, future research should concentrate on enabling successful organizational interventions that extend beyond the microsystem.</t>
        </is>
      </c>
      <c r="W26" t="inlineStr">
        <is>
          <t>[Lee, Jung Lim] Daejeon Univ, Dept Nursing, Daejeon Si 34520, South Korea; [Kim, Youngji] Kongju Natl Univ, Coll Nursing &amp; Hlth, Dept Nursing, Kongju Si 32588, South Korea</t>
        </is>
      </c>
      <c r="Y26" t="inlineStr">
        <is>
          <t>Kim, Y (corresponding author), Kongju Natl Univ, Coll Nursing &amp; Hlth, Dept Nursing, Kongju Si 32588, South Korea.</t>
        </is>
      </c>
      <c r="Z26" t="inlineStr">
        <is>
          <t>leejl@dju.kr; superdr1@hanmail.net</t>
        </is>
      </c>
      <c r="AG26" t="n">
        <v>29</v>
      </c>
      <c r="AH26" t="n">
        <v>0</v>
      </c>
      <c r="AI26" t="n">
        <v>0</v>
      </c>
      <c r="AT26" t="inlineStr">
        <is>
          <t>APR</t>
        </is>
      </c>
      <c r="AU26" t="n">
        <v>2023</v>
      </c>
      <c r="AV26" t="n">
        <v>11</v>
      </c>
      <c r="AW26" t="n">
        <v>8</v>
      </c>
      <c r="BD26" t="n">
        <v>1139</v>
      </c>
      <c r="BE26" t="inlineStr">
        <is>
          <t>10.3390/healthcare11081139</t>
        </is>
      </c>
      <c r="BF26">
        <f>HYPERLINK("http://dx.doi.org/10.3390/healthcare11081139","http://dx.doi.org/10.3390/healthcare11081139")</f>
        <v/>
      </c>
      <c r="BR26" t="inlineStr">
        <is>
          <t>2026-05-29</t>
        </is>
      </c>
      <c r="BS26" t="inlineStr">
        <is>
          <t>WOS:000984042800001</t>
        </is>
      </c>
      <c r="BT26">
        <f>HYPERLINK("https%3A%2F%2Fwww.webofscience.com%2Fwos%2Fwoscc%2Ffull-record%2FWOS:000984042800001","View Full Record in Web of Science")</f>
        <v/>
      </c>
      <c r="BU26">
        <f>COUNTIF('오픈소스&amp;직접수집'!F:F,'wos(corecollection)_260528'!BE26)</f>
        <v/>
      </c>
      <c r="BV26">
        <f>COUNTIF('오픈소스&amp;직접수집'!A:A,'wos(corecollection)_260528'!I26)</f>
        <v/>
      </c>
      <c r="BW26">
        <f>SUM(BU26:BV26)</f>
        <v/>
      </c>
    </row>
    <row r="27">
      <c r="A27" s="4" t="inlineStr">
        <is>
          <t>netminer 검색</t>
        </is>
      </c>
      <c r="B27" t="inlineStr">
        <is>
          <t>Jeon, BJ; Park, KH</t>
        </is>
      </c>
      <c r="F27" t="inlineStr">
        <is>
          <t>Jeon, Byoung-Jin; Park, Kang-Hyun</t>
        </is>
      </c>
      <c r="I27" t="inlineStr">
        <is>
          <t>The Impact of Social Network Characteristics on Health among Community-Dwelling Older Adults in Korea: Application of Social Network Analysis</t>
        </is>
      </c>
      <c r="J27" t="inlineStr">
        <is>
          <t>INTERNATIONAL JOURNAL OF ENVIRONMENTAL RESEARCH AND PUBLIC HEALTH</t>
        </is>
      </c>
      <c r="N27" t="inlineStr">
        <is>
          <t>Article</t>
        </is>
      </c>
      <c r="V27" t="inlineStr">
        <is>
          <t>Objectives: Population aging is a reality in most developed countries. In this era, an important health issue for these countries is promoting health and quality of life in the elderly population. Older adults' social networks are associated with health and quality of life. Therefore, this study examines the association between the characteristics of social networks (friendship networks) and the subjective well-being of community-dwelling older adults. Methods: This study was conducted between June 2015 and August 2015 with a total of 146 participants. The size and density of social networks were analyzed using social network analysis. Additionally, to investigate the impact of social networks on health, a multiple linear regression analysis was performed using NetMiner 4.0. Statistical significance was set at p &lt; 0.05. Results: In terms of Model 1, which used social network characteristics as variables, the higher the out-degree (376.161) and in-closeness (201.825), the better the health. In contrast, the higher the in-degree (-279.167) and out-closeness (-52.620), the poorer the health. Regarding Model 2, which used sociodemographic characteristics as variables, the higher the out-degree (218.747) and in-closeness (170.075), the better the health. In addition, religion had a negative effect on health, and a high level of education had a positive effect on health. Conclusions: The findings suggest that higher out-degree and in-closeness intensity positively affect the health of older adults, but higher in-degree and out-closeness intensity negatively affect health. Therefore, health professionals should use appropriate strategies to increase the strength of social networks to improve the health of older adults living in the community.</t>
        </is>
      </c>
      <c r="W27" t="inlineStr">
        <is>
          <t>[Jeon, Byoung-Jin] Kangwon Natl Univ, Dept Occupat Therapy, Samcheok Si 25947, South Korea; [Park, Kang-Hyun] Baekseok Univ, Dept Occupat Therapy, Cheonan Si 31065, South Korea</t>
        </is>
      </c>
      <c r="Y27" t="inlineStr">
        <is>
          <t>Park, KH (corresponding author), Baekseok Univ, Dept Occupat Therapy, Cheonan Si 31065, South Korea.</t>
        </is>
      </c>
      <c r="Z27" t="inlineStr">
        <is>
          <t>nomadot@daum.net; kanghyun@bu.ac.kr</t>
        </is>
      </c>
      <c r="AG27" t="n">
        <v>52</v>
      </c>
      <c r="AH27" t="n">
        <v>5</v>
      </c>
      <c r="AI27" t="n">
        <v>7</v>
      </c>
      <c r="AT27" t="inlineStr">
        <is>
          <t>APR</t>
        </is>
      </c>
      <c r="AU27" t="n">
        <v>2022</v>
      </c>
      <c r="AV27" t="n">
        <v>19</v>
      </c>
      <c r="AW27" t="n">
        <v>7</v>
      </c>
      <c r="BD27" t="n">
        <v>4013</v>
      </c>
      <c r="BE27" t="inlineStr">
        <is>
          <t>10.3390/ijerph19074013</t>
        </is>
      </c>
      <c r="BF27">
        <f>HYPERLINK("http://dx.doi.org/10.3390/ijerph19074013","http://dx.doi.org/10.3390/ijerph19074013")</f>
        <v/>
      </c>
      <c r="BR27" t="inlineStr">
        <is>
          <t>2026-05-29</t>
        </is>
      </c>
      <c r="BS27" t="inlineStr">
        <is>
          <t>WOS:000780609700001</t>
        </is>
      </c>
      <c r="BT27">
        <f>HYPERLINK("https%3A%2F%2Fwww.webofscience.com%2Fwos%2Fwoscc%2Ffull-record%2FWOS:000780609700001","View Full Record in Web of Science")</f>
        <v/>
      </c>
      <c r="BU27">
        <f>COUNTIF('오픈소스&amp;직접수집'!F:F,'wos(corecollection)_260528'!BE27)</f>
        <v/>
      </c>
      <c r="BV27">
        <f>COUNTIF('오픈소스&amp;직접수집'!A:A,'wos(corecollection)_260528'!I27)</f>
        <v/>
      </c>
      <c r="BW27">
        <f>SUM(BU27:BV27)</f>
        <v/>
      </c>
    </row>
    <row r="28">
      <c r="A28" s="4" t="inlineStr">
        <is>
          <t>netminer 검색</t>
        </is>
      </c>
      <c r="B28" t="inlineStr">
        <is>
          <t>Ko, J; Paek, S; Park, S; Park, J</t>
        </is>
      </c>
      <c r="F28" t="inlineStr">
        <is>
          <t>Ko, Jangwan; Paek, Seungsu; Park, Seoyoon; Park, Jiwoo</t>
        </is>
      </c>
      <c r="I28" t="inlineStr">
        <is>
          <t>A News Big Data Analysis of Issues in Higher Education in Korea amid the COVID-19 Pandemic</t>
        </is>
      </c>
      <c r="J28" t="inlineStr">
        <is>
          <t>SUSTAINABILITY</t>
        </is>
      </c>
      <c r="N28" t="inlineStr">
        <is>
          <t>Article</t>
        </is>
      </c>
      <c r="V28" t="inlineStr">
        <is>
          <t>This paper examines the main issues regarding higher education in Korea-where college education experienced minimal interruptions-during the COVID-19 pandemic through a big data analysis of news articles. By analyzing policy responses from the government and colleges and examining prominent discourses on higher education, it provides a context for discussing the implications of COVID-19 on education policy and what the post-pandemic era would bring. To this end, we utilized BIgKinds, a big data research solution for news articles offered by the Korea Press Foundation, to select a total of 2636 media reports and conducted Topic Modelling based on LDA algorithms using NetMiner. The analyses are split into three distinct periods of COVID-19 spread in the country. Some notable topics from the first phase are remote class, tuition refund, returning Chinese international students, and normalization of college education. Preparations for the College Scholastic Ability Test (CSAT), contact and contactless classes, preparations for early admissions, and supporting job market candidates are extracted for the second phase. For the third phase, the extracted topics include CSAT and college-specific exams, quarantine on campus, social relations on campus, and support for job market candidates. The results confirmed widespread public attention to the relevant issues but also showed empirically that the measures taken by the government and college administrations to combat COVID-19 had limited visibility among media reports. It is important to note that timely and appropriate responses from the government and colleges have enabled continuation of higher education in some capacity during the pandemic. In addition to the media's role in reporting issues of public interest, there is also a need for continued research and discussion on higher education amid COVID-19 to help effect actual results from various policy efforts.</t>
        </is>
      </c>
      <c r="W28" t="inlineStr">
        <is>
          <t>[Ko, Jangwan; Park, Seoyoon; Park, Jiwoo] Sungkyunkwan Univ, Coll Educ, Seoul 04063, South Korea; [Paek, Seungsu] Gachon Univ, Grad Sch Educ, Seongnam 13120, South Korea</t>
        </is>
      </c>
      <c r="Y28" t="inlineStr">
        <is>
          <t>Paek, S (corresponding author), Gachon Univ, Grad Sch Educ, Seongnam 13120, South Korea.</t>
        </is>
      </c>
      <c r="Z28" t="inlineStr">
        <is>
          <t>jakosu@skku.edu; ongang@gachon.ac.kr; pseoyoon@skku.edu; jiwoopark1993@gmail.com</t>
        </is>
      </c>
      <c r="AG28" t="n">
        <v>51</v>
      </c>
      <c r="AH28" t="n">
        <v>12</v>
      </c>
      <c r="AI28" t="n">
        <v>15</v>
      </c>
      <c r="AT28" t="inlineStr">
        <is>
          <t>JUL</t>
        </is>
      </c>
      <c r="AU28" t="n">
        <v>2021</v>
      </c>
      <c r="AV28" t="n">
        <v>13</v>
      </c>
      <c r="AW28" t="n">
        <v>13</v>
      </c>
      <c r="BD28" t="n">
        <v>7347</v>
      </c>
      <c r="BE28" t="inlineStr">
        <is>
          <t>10.3390/su13137347</t>
        </is>
      </c>
      <c r="BF28">
        <f>HYPERLINK("http://dx.doi.org/10.3390/su13137347","http://dx.doi.org/10.3390/su13137347")</f>
        <v/>
      </c>
      <c r="BR28" t="inlineStr">
        <is>
          <t>2026-05-29</t>
        </is>
      </c>
      <c r="BS28" t="inlineStr">
        <is>
          <t>WOS:000671131300001</t>
        </is>
      </c>
      <c r="BT28">
        <f>HYPERLINK("https%3A%2F%2Fwww.webofscience.com%2Fwos%2Fwoscc%2Ffull-record%2FWOS:000671131300001","View Full Record in Web of Science")</f>
        <v/>
      </c>
      <c r="BU28">
        <f>COUNTIF('오픈소스&amp;직접수집'!F:F,'wos(corecollection)_260528'!BE28)</f>
        <v/>
      </c>
      <c r="BV28">
        <f>COUNTIF('오픈소스&amp;직접수집'!A:A,'wos(corecollection)_260528'!I28)</f>
        <v/>
      </c>
      <c r="BW28">
        <f>SUM(BU28:BV28)</f>
        <v/>
      </c>
    </row>
    <row r="29">
      <c r="A29" s="4" t="inlineStr">
        <is>
          <t>netminer 검색</t>
        </is>
      </c>
      <c r="B29" t="inlineStr">
        <is>
          <t>Huang, WC; Zhang, Y; Zuo, BR; Yu, YC; De Dieu, GJ; Xu, YF</t>
        </is>
      </c>
      <c r="F29" t="inlineStr">
        <is>
          <t>Huang, Wencheng; Zhang, Yue; Zuo, Borui; Yu, Yaocheng; De Dieu, Gatesi Jean; Xu, Yifei</t>
        </is>
      </c>
      <c r="I29" t="inlineStr">
        <is>
          <t>Using an expanded Safety Failure Event Network to analyze railway dangerous goods transportation system risk-accident</t>
        </is>
      </c>
      <c r="J29" t="inlineStr">
        <is>
          <t>JOURNAL OF LOSS PREVENTION IN THE PROCESS INDUSTRIES</t>
        </is>
      </c>
      <c r="N29" t="inlineStr">
        <is>
          <t>Article</t>
        </is>
      </c>
      <c r="V29" t="inlineStr">
        <is>
          <t>In order to improve the reliability and safety of railway dangerous goods transportation system (RDGTS), and prevent the similar accidents happened again, an easier operated, dynamic, systemic and quantitative approach called expanded Safety Failure Event Network (SFEN) is proposed to analyze the past typical RDGTS accidents. The expanded SFEN focuses on transfer the traditional safety occurrence process into a visible Accident Analysis Network (AAN) platform. To improve the previous SFEN approach, the risk factors categories are expanded including Human actions, Technical failure, Nature of transported goods, Environment factors, Management failure and External factors of the system. An AAN is established by using the risk factors as the nodes and using the interactions among these risk factors as the edges, the RDGTS risk analysis problem is transferred into a quantitative network structure analysis problem from a network perspective. After that, based on the AAN, TouchGraph and NetMiner are applied to calculate and rank the centrality degree of each sub-risk factor (or subheading) in a network. A RDGTS accident happened in 2001 is analyzed, the results show that TouchGraph and NetMiner can present the same interactions and importance of sub-risk factors (or sub-headings) through visible circle images in the platform, NetMiner is more digital because the results can be presented as the centrality degree values. The greatest contributed sub-risk factors are Equipment maintenance failure and Railway inspection agency failure, followed by cargo packaging problems, illegal entrainment problem. Misbehaves of the freight inspector with centrality degree 0.523810 shows that this sub-heading has the greatest contribution to the accident.</t>
        </is>
      </c>
      <c r="W29" t="inlineStr">
        <is>
          <t>[Huang, Wencheng; Zhang, Yue; Zuo, Borui; Yu, Yaocheng; De Dieu, Gatesi Jean; Xu, Yifei] Southwest Jiaotong Univ, Sch Transportat &amp; Logist, Chengdu 611756, Sichuan, Peoples R China; [Huang, Wencheng; Zhang, Yue; Zuo, Borui; Yu, Yaocheng; De Dieu, Gatesi Jean; Xu, Yifei] Southwest Jiaotong Univ, Natl United Engn Lab Intergrated &amp; Intelligent Tr, Chengdu 611756, Sichuan, Peoples R China; [Huang, Wencheng] Southwest Jiaotong Univ, Natl Engn Lab Integrated Transportat Big Data App, Chengdu 611756, Sichuan, Peoples R China</t>
        </is>
      </c>
      <c r="Y29" t="inlineStr">
        <is>
          <t>Huang, WC (corresponding author), Southwest Jiaotong Univ, Sch Transportat &amp; Logist, Chengdu 611756, Sichuan, Peoples R China.</t>
        </is>
      </c>
      <c r="Z29" t="inlineStr">
        <is>
          <t>1261992248@qq.com</t>
        </is>
      </c>
      <c r="AG29" t="n">
        <v>27</v>
      </c>
      <c r="AH29" t="n">
        <v>19</v>
      </c>
      <c r="AI29" t="n">
        <v>23</v>
      </c>
      <c r="AT29" t="inlineStr">
        <is>
          <t>MAY</t>
        </is>
      </c>
      <c r="AU29" t="n">
        <v>2020</v>
      </c>
      <c r="AV29" t="n">
        <v>65</v>
      </c>
      <c r="BD29" t="n">
        <v>104122</v>
      </c>
      <c r="BE29" t="inlineStr">
        <is>
          <t>10.1016/j.jlp.2020.104122</t>
        </is>
      </c>
      <c r="BF29">
        <f>HYPERLINK("http://dx.doi.org/10.1016/j.jlp.2020.104122","http://dx.doi.org/10.1016/j.jlp.2020.104122")</f>
        <v/>
      </c>
      <c r="BR29" t="inlineStr">
        <is>
          <t>2026-05-29</t>
        </is>
      </c>
      <c r="BS29" t="inlineStr">
        <is>
          <t>WOS:000536925600053</t>
        </is>
      </c>
      <c r="BT29">
        <f>HYPERLINK("https%3A%2F%2Fwww.webofscience.com%2Fwos%2Fwoscc%2Ffull-record%2FWOS:000536925600053","View Full Record in Web of Science")</f>
        <v/>
      </c>
      <c r="BU29">
        <f>COUNTIF('오픈소스&amp;직접수집'!F:F,'wos(corecollection)_260528'!BE29)</f>
        <v/>
      </c>
      <c r="BV29">
        <f>COUNTIF('오픈소스&amp;직접수집'!A:A,'wos(corecollection)_260528'!I29)</f>
        <v/>
      </c>
      <c r="BW29">
        <f>SUM(BU29:BV29)</f>
        <v/>
      </c>
    </row>
    <row r="30">
      <c r="A30" s="4" t="inlineStr">
        <is>
          <t>netminer 검색</t>
        </is>
      </c>
      <c r="B30" t="inlineStr">
        <is>
          <t>Kim, J; Kim, MS</t>
        </is>
      </c>
      <c r="F30" t="inlineStr">
        <is>
          <t>Kim, Jihyun; Kim, Mi So</t>
        </is>
      </c>
      <c r="I30" t="inlineStr">
        <is>
          <t>An Overview of Cognitive Reserve in Aging Based on Keyword Network Analysis</t>
        </is>
      </c>
      <c r="J30" t="inlineStr">
        <is>
          <t>INQUIRY-THE JOURNAL OF HEALTH CARE ORGANIZATION PROVISION AND FINANCING</t>
        </is>
      </c>
      <c r="N30" t="inlineStr">
        <is>
          <t>Article</t>
        </is>
      </c>
      <c r="V30" t="inlineStr">
        <is>
          <t>Many studies have reported that Cognitive reserve is a critical mechanism affecting cognitive statuses, such as dementia. The purposes of this study were to identify the knowledge structure and the research trend on cognitive reserve by conducting keyword analysis on research papers ranging from the earliest to the most recent studies done on the topic and to suggest directions for future research. The Web of Science (WOS) database was used to search for articles on cognitive reserve in aging from 2001 to 2020. NetMiner version 4 (cyram, KOREA), a social network analysis program, was used for keyword network analysis. Data analysis showed keywords that could be categorized as cognitive reserve related keywords (cognitive reserve related concepts, cognitive reserve related factor, cognitive reserve diagnosis and measurement, cognitive reserve outcomes) and cognitive reserve research keywords (research subject/disease, research method, intervention, research field). Through trend analysis, we found that various keywords appeared, indicating that the research has gradually developed conceptually and methodically. Based on these findings, future CR studies require the development of multimodal interface-based tools by applying modern digital technology that can be used to more accurately diagnose and monitor CR; remotely, in real time. In addition, to improve CR, it is suggested that the development of cognitive stimulation interventions utilizing VR which fuses AI based interaction technology with the subjects. Finally, CR could develop further through a cooperation of multidisciplinary professionals such as psychology, medicine and nursing.</t>
        </is>
      </c>
      <c r="W30" t="inlineStr">
        <is>
          <t>[Kim, Jihyun] Sahmyook Univ, Seoul, South Korea; [Kim, Mi So] Shinhan Univ, Gyeonggi do, South Korea; [Kim, Mi So] Shinhan Univ, Coll Nursing, Bulma Ro 30, Dongducheon Si, Gyeonggi Do, South Korea</t>
        </is>
      </c>
      <c r="Y30" t="inlineStr">
        <is>
          <t>Kim, MS (corresponding author), Shinhan Univ, Coll Nursing, Bulma Ro 30, Dongducheon Si, Gyeonggi Do, South Korea.</t>
        </is>
      </c>
      <c r="Z30" t="inlineStr">
        <is>
          <t>misoangel83@gmail.com</t>
        </is>
      </c>
      <c r="AG30" t="n">
        <v>49</v>
      </c>
      <c r="AH30" t="n">
        <v>1</v>
      </c>
      <c r="AI30" t="n">
        <v>2</v>
      </c>
      <c r="AT30" t="inlineStr">
        <is>
          <t>NOV</t>
        </is>
      </c>
      <c r="AU30" t="n">
        <v>2022</v>
      </c>
      <c r="AV30" t="n">
        <v>59</v>
      </c>
      <c r="BD30" t="n">
        <v>469580221139374</v>
      </c>
      <c r="BE30" t="inlineStr">
        <is>
          <t>10.1177/00469580221139374</t>
        </is>
      </c>
      <c r="BF30">
        <f>HYPERLINK("http://dx.doi.org/10.1177/00469580221139374","http://dx.doi.org/10.1177/00469580221139374")</f>
        <v/>
      </c>
      <c r="BR30" t="inlineStr">
        <is>
          <t>2026-05-29</t>
        </is>
      </c>
      <c r="BS30" t="inlineStr">
        <is>
          <t>WOS:000928080400001</t>
        </is>
      </c>
      <c r="BT30">
        <f>HYPERLINK("https%3A%2F%2Fwww.webofscience.com%2Fwos%2Fwoscc%2Ffull-record%2FWOS:000928080400001","View Full Record in Web of Science")</f>
        <v/>
      </c>
      <c r="BU30">
        <f>COUNTIF('오픈소스&amp;직접수집'!F:F,'wos(corecollection)_260528'!BE30)</f>
        <v/>
      </c>
      <c r="BV30">
        <f>COUNTIF('오픈소스&amp;직접수집'!A:A,'wos(corecollection)_260528'!I30)</f>
        <v/>
      </c>
      <c r="BW30">
        <f>SUM(BU30:BV30)</f>
        <v/>
      </c>
    </row>
    <row r="31">
      <c r="A31" s="4" t="inlineStr">
        <is>
          <t>netminer 검색</t>
        </is>
      </c>
      <c r="B31" t="inlineStr">
        <is>
          <t>Park, EJ; Kim, Y; Park, CS</t>
        </is>
      </c>
      <c r="F31" t="inlineStr">
        <is>
          <t>Park, Eun-Jun; Kim, Youngji; Park, Chan Sook</t>
        </is>
      </c>
      <c r="I31" t="inlineStr">
        <is>
          <t>A Comparison of Hospice Care Research Topics between Korea and Other Countries Using Text Network Analysis</t>
        </is>
      </c>
      <c r="J31" t="inlineStr">
        <is>
          <t>JOURNAL OF KOREAN ACADEMY OF NURSING</t>
        </is>
      </c>
      <c r="N31" t="inlineStr">
        <is>
          <t>Article</t>
        </is>
      </c>
      <c r="V31" t="inlineStr">
        <is>
          <t>Purpose: This study aimed to identify and compare hospice care research topics between Korean and intemational nursing studies using text network analysis. Methods: The study was conducted in four steps: 1) collecting abstracts of relevant journal articles, 2) extracting and cleaning keywords (semantic morphemes) from the abstracts, 3) developing co-occurrence matrices and text-networks of keywords, and 4) analyzing network-related measures including degree centrality, closeness centrality, betweenness centrality, and clustering using the NetMiner program. Abstracts from 347 Korean and 1,926 international studies for the period of 1998-2016 were analyzed. Results: Between Korean and international studies, six of the most important core keywords-hospice, patient, death, RNs, care, and family-were common, whereas cancer from Korean studies and palliative care from international studies ranked more highly. Keywords such as attitude, spirituality, life, effect, and meaning for Korean studies and communication, treatment, USA, and doctor for international studies uniquely emerged as core keywords in recent studies (2011 similar to 2016). Five subtopic groups each were identified from Korean and international studies. Two common subtopics were hospice palliative care and volunteers and cancer patients. Conclusion: For a better quality of hospice care in Korea, it is recommended that nursing researchers focus on study topics of patients with non-cancer disease, children and family, communication, and pain and symptom management.</t>
        </is>
      </c>
      <c r="W31" t="inlineStr">
        <is>
          <t>[Park, Eun-Jun] Konkuk Univ, Dept Nursing, Glocal Campus, Chungju, South Korea; [Kim, Youngji] Gachon Univ, Coll Nursing, Incheon, South Korea; [Park, Chan Sook] Konkuk Univ, Grad Sch, Dept Nursing, Glocal Campus, Chungju, South Korea</t>
        </is>
      </c>
      <c r="Y31" t="inlineStr">
        <is>
          <t>Park, CS (corresponding author), Konkuk Univ, Grad Sch, Dept Nursing, 268 Chungwon Daero, Chungju 27478, South Korea.</t>
        </is>
      </c>
      <c r="Z31" t="inlineStr">
        <is>
          <t>sook706@hanmail.net</t>
        </is>
      </c>
      <c r="AG31" t="n">
        <v>32</v>
      </c>
      <c r="AH31" t="n">
        <v>18</v>
      </c>
      <c r="AI31" t="n">
        <v>26</v>
      </c>
      <c r="AT31" t="inlineStr">
        <is>
          <t>OCT</t>
        </is>
      </c>
      <c r="AU31" t="n">
        <v>2017</v>
      </c>
      <c r="AV31" t="n">
        <v>47</v>
      </c>
      <c r="AW31" t="n">
        <v>5</v>
      </c>
      <c r="BB31" t="n">
        <v>600</v>
      </c>
      <c r="BC31" t="n">
        <v>612</v>
      </c>
      <c r="BE31" t="inlineStr">
        <is>
          <t>10.4040/jkan.2017.47.5.600</t>
        </is>
      </c>
      <c r="BF31">
        <f>HYPERLINK("http://dx.doi.org/10.4040/jkan.2017.47.5.600","http://dx.doi.org/10.4040/jkan.2017.47.5.600")</f>
        <v/>
      </c>
      <c r="BR31" t="inlineStr">
        <is>
          <t>2026-05-29</t>
        </is>
      </c>
      <c r="BS31" t="inlineStr">
        <is>
          <t>WOS:000415783100003</t>
        </is>
      </c>
      <c r="BT31">
        <f>HYPERLINK("https%3A%2F%2Fwww.webofscience.com%2Fwos%2Fwoscc%2Ffull-record%2FWOS:000415783100003","View Full Record in Web of Science")</f>
        <v/>
      </c>
      <c r="BU31">
        <f>COUNTIF('오픈소스&amp;직접수집'!F:F,'wos(corecollection)_260528'!BE31)</f>
        <v/>
      </c>
      <c r="BV31">
        <f>COUNTIF('오픈소스&amp;직접수집'!A:A,'wos(corecollection)_260528'!I31)</f>
        <v/>
      </c>
      <c r="BW31">
        <f>SUM(BU31:BV31)</f>
        <v/>
      </c>
    </row>
    <row r="32">
      <c r="A32" s="4" t="inlineStr">
        <is>
          <t>netminer 검색</t>
        </is>
      </c>
      <c r="B32" t="inlineStr">
        <is>
          <t>Park, CS; Park, EJ</t>
        </is>
      </c>
      <c r="F32" t="inlineStr">
        <is>
          <t>Park, Chan Sook; Park, Eun-Jun</t>
        </is>
      </c>
      <c r="I32" t="inlineStr">
        <is>
          <t>Identification of of Knowledge Structure of Pain Management Nursing Research Applying Text Network Analysis</t>
        </is>
      </c>
      <c r="J32" t="inlineStr">
        <is>
          <t>JOURNAL OF KOREAN ACADEMY OF NURSING</t>
        </is>
      </c>
      <c r="N32" t="inlineStr">
        <is>
          <t>Article</t>
        </is>
      </c>
      <c r="V32" t="inlineStr">
        <is>
          <t>Purpose: This study aimed to explore and compare the knowledge structure of pain management nursing research, between Korea and other countries, applying a text network analysis. Methods: 321 Korean and 6,685 international study abstracts of pain management, published from 2004 to 2017, were collected. Keywords and meaningful morphemes from the abstracts were analyzed and refined, and their co-occurrence matrix was generated. Two networks of 140 and 424 keywords, respectively, of domestic and international studies were analyzed using NetMiner 4.3 software for degree centrality, closeness centrality, betweenness centrality, and eigenvector community analysis. Results: In both Korean and international studies, the most important, core-keywords were pain, patient, pain management, registered nurses, care, cancer, need, analgesia, assessment and surgery. While some keywords like 'education, knowledge, and patient-controlled analgesia found to be important in Korean studies; treatment hospice palliative care, and children were critical keywords in international studies. Three common sub-topic groups found in Korean and international studies were pain and accompanying symptoms, target groups of pain management, and RNs performance of pain management. It is only in recent years (201617), that keywords such as performance, attitude, depression, and sleep have become more important in Korean studies than, while keywords such as assessment, intervention, analgesia, and chronic pain have become important in international studies. Conclusion: It is suggested that Korean pain-management researchers should expand their concerns to children and adolescents, the elderly, patients with chronic pain, patients in diverse healthcare settings, and patients' use of opioid analgesia. Moreover, researchers need to approach pain-management with a quality of life perspective rather than a mere focus on individual symptoms.</t>
        </is>
      </c>
      <c r="W32" t="inlineStr">
        <is>
          <t>[Park, Chan Sook; Park, Eun-Jun] Konkuk Univ Glocal Campus, Dept Nursing, 268 Chungwon Dearo, Chungju 27478, South Korea</t>
        </is>
      </c>
      <c r="Y32" t="inlineStr">
        <is>
          <t>Park, EJ (corresponding author), Konkuk Univ Glocal Campus, Dept Nursing, 268 Chungwon Dearo, Chungju 27478, South Korea.</t>
        </is>
      </c>
      <c r="Z32" t="inlineStr">
        <is>
          <t>eunjunp@kku.ac.kr</t>
        </is>
      </c>
      <c r="AG32" t="n">
        <v>25</v>
      </c>
      <c r="AH32" t="n">
        <v>11</v>
      </c>
      <c r="AI32" t="n">
        <v>17</v>
      </c>
      <c r="AT32" t="inlineStr">
        <is>
          <t>OCT</t>
        </is>
      </c>
      <c r="AU32" t="n">
        <v>2019</v>
      </c>
      <c r="AV32" t="n">
        <v>49</v>
      </c>
      <c r="AW32" t="n">
        <v>5</v>
      </c>
      <c r="BB32" t="n">
        <v>538</v>
      </c>
      <c r="BC32" t="n">
        <v>549</v>
      </c>
      <c r="BE32" t="inlineStr">
        <is>
          <t>10.4040/jkan.2019.49.5.538</t>
        </is>
      </c>
      <c r="BF32">
        <f>HYPERLINK("http://dx.doi.org/10.4040/jkan.2019.49.5.538","http://dx.doi.org/10.4040/jkan.2019.49.5.538")</f>
        <v/>
      </c>
      <c r="BR32" t="inlineStr">
        <is>
          <t>2026-05-29</t>
        </is>
      </c>
      <c r="BS32" t="inlineStr">
        <is>
          <t>WOS:000493986000004</t>
        </is>
      </c>
      <c r="BT32">
        <f>HYPERLINK("https%3A%2F%2Fwww.webofscience.com%2Fwos%2Fwoscc%2Ffull-record%2FWOS:000493986000004","View Full Record in Web of Science")</f>
        <v/>
      </c>
      <c r="BU32">
        <f>COUNTIF('오픈소스&amp;직접수집'!F:F,'wos(corecollection)_260528'!BE32)</f>
        <v/>
      </c>
      <c r="BV32">
        <f>COUNTIF('오픈소스&amp;직접수집'!A:A,'wos(corecollection)_260528'!I32)</f>
        <v/>
      </c>
      <c r="BW32">
        <f>SUM(BU32:BV32)</f>
        <v/>
      </c>
    </row>
    <row r="33">
      <c r="A33" s="4" t="inlineStr">
        <is>
          <t>netminer 검색</t>
        </is>
      </c>
      <c r="B33" t="inlineStr">
        <is>
          <t>Park, S; Park, J</t>
        </is>
      </c>
      <c r="F33" t="inlineStr">
        <is>
          <t>Park, Sooyeon; Park, Jinkyung</t>
        </is>
      </c>
      <c r="I33" t="inlineStr">
        <is>
          <t>Identifying the Knowledge Structure and Trends of Outreach in Public Health Care: A Text Network Analysis and Topic Modeling</t>
        </is>
      </c>
      <c r="J33" t="inlineStr">
        <is>
          <t>INTERNATIONAL JOURNAL OF ENVIRONMENTAL RESEARCH AND PUBLIC HEALTH</t>
        </is>
      </c>
      <c r="N33" t="inlineStr">
        <is>
          <t>Article</t>
        </is>
      </c>
      <c r="V33" t="inlineStr">
        <is>
          <t>Outreach programs are considered a key strategy for providing services to underserved populations and play a central role in delivering health-care services. To address this challenge, knowledge relevant to global health outreach programs has recently been expanded. The aims of this study were to analyze the knowledge structure and understand the trends in aspects over time and across regions using text network analysis with NetMiner 4.0. Data analysis by frequency, time and region showed that the central keywords such as patient, care, service and community were found to be highly related to the area, target population, purpose and type of services within the knowledge structure of outreach. As a result of performing topic modeling, knowledge structure in this area consisted of five topics: patient-centered care, HIV care continuum, services related to a specific disease, community-based health-care services and research and education on health programs. Our results newly identified that patient-centered care, specific disease and population have been growing more crucial for all times and countries by the examination of major trends in health-care related outreach research. These findings help health professionals, researchers and policymakers in nursing and public health fields in understanding and developing health-care-related outreach practices and suggest future research direction.</t>
        </is>
      </c>
      <c r="W33" t="inlineStr">
        <is>
          <t>[Park, Sooyeon] Korea Univ, Coll Nursing, Seoul 02841, South Korea; [Park, Jinkyung] Chonnam Natl Univ, Coll Nursing, Gwangju 61469, South Korea</t>
        </is>
      </c>
      <c r="Y33" t="inlineStr">
        <is>
          <t>Park, J (corresponding author), Chonnam Natl Univ, Coll Nursing, Gwangju 61469, South Korea.</t>
        </is>
      </c>
      <c r="Z33" t="inlineStr">
        <is>
          <t>isypark@korea.ac.kr; carpe@jnu.ac.kr</t>
        </is>
      </c>
      <c r="AG33" t="n">
        <v>69</v>
      </c>
      <c r="AH33" t="n">
        <v>5</v>
      </c>
      <c r="AI33" t="n">
        <v>8</v>
      </c>
      <c r="AT33" t="inlineStr">
        <is>
          <t>SEP</t>
        </is>
      </c>
      <c r="AU33" t="n">
        <v>2021</v>
      </c>
      <c r="AV33" t="n">
        <v>18</v>
      </c>
      <c r="AW33" t="n">
        <v>17</v>
      </c>
      <c r="BD33" t="n">
        <v>9309</v>
      </c>
      <c r="BE33" t="inlineStr">
        <is>
          <t>10.3390/ijerph18179309</t>
        </is>
      </c>
      <c r="BF33">
        <f>HYPERLINK("http://dx.doi.org/10.3390/ijerph18179309","http://dx.doi.org/10.3390/ijerph18179309")</f>
        <v/>
      </c>
      <c r="BR33" t="inlineStr">
        <is>
          <t>2026-05-29</t>
        </is>
      </c>
      <c r="BS33" t="inlineStr">
        <is>
          <t>WOS:000694150800001</t>
        </is>
      </c>
      <c r="BT33">
        <f>HYPERLINK("https%3A%2F%2Fwww.webofscience.com%2Fwos%2Fwoscc%2Ffull-record%2FWOS:000694150800001","View Full Record in Web of Science")</f>
        <v/>
      </c>
      <c r="BU33">
        <f>COUNTIF('오픈소스&amp;직접수집'!F:F,'wos(corecollection)_260528'!BE33)</f>
        <v/>
      </c>
      <c r="BV33">
        <f>COUNTIF('오픈소스&amp;직접수집'!A:A,'wos(corecollection)_260528'!I33)</f>
        <v/>
      </c>
      <c r="BW33">
        <f>SUM(BU33:BV33)</f>
        <v/>
      </c>
    </row>
    <row r="34">
      <c r="A34" s="4" t="inlineStr">
        <is>
          <t>netminer 검색</t>
        </is>
      </c>
      <c r="B34" t="inlineStr">
        <is>
          <t>Kim, YS; Lee, SK</t>
        </is>
      </c>
      <c r="F34" t="inlineStr">
        <is>
          <t>Kim, Young-Su; Lee, Soo-Kyoung</t>
        </is>
      </c>
      <c r="I34" t="inlineStr">
        <is>
          <t>Analysis of Research on Nurses' Job Stress Using Network Analysis</t>
        </is>
      </c>
      <c r="J34" t="inlineStr">
        <is>
          <t>WESTERN JOURNAL OF NURSING RESEARCH</t>
        </is>
      </c>
      <c r="N34" t="inlineStr">
        <is>
          <t>Article</t>
        </is>
      </c>
      <c r="V34" t="inlineStr">
        <is>
          <t>This study established a network related to nurses' job stress by conducting a social network analysis of titles, keywords, and abstracts, and it identified emerging topics of research. NetMiner 4.0 visualized an interconnection between critical keywords and investigated their frequency of appearance to construe the trends in nurses' job stress measures used in studies conducted over 55 years (1960-2015). Text Rank Analyzer examined a collection of 9,218 keywords from 2,662 studies. The analysis revealed four groups of newly emerging keywords in the research. The following five clusters were identified: concept, subject, method and tool, outcome and response, and solution and management. Thus, if new researchers refer to existing trends to establish the subject of their study, replication studies can be reduced, and the direction of the development of future research on nurses' job stress can be predicted. Further application of new interventions, development of objective indicators, working environment, and broader participants are needed.</t>
        </is>
      </c>
      <c r="W34" t="inlineStr">
        <is>
          <t>[Kim, Young-Su; Lee, Soo-Kyoung] Keimyung Univ, Daegu, South Korea</t>
        </is>
      </c>
      <c r="Y34" t="inlineStr">
        <is>
          <t>Lee, SK (corresponding author), Keimyung Univ, Coll Nursing, 1095 Dalgubeol Daero, Daegu 42601, South Korea.</t>
        </is>
      </c>
      <c r="Z34" t="inlineStr">
        <is>
          <t>soo1005@kmu.ac.kr</t>
        </is>
      </c>
      <c r="AG34" t="n">
        <v>31</v>
      </c>
      <c r="AH34" t="n">
        <v>8</v>
      </c>
      <c r="AI34" t="n">
        <v>9</v>
      </c>
      <c r="AT34" t="inlineStr">
        <is>
          <t>MAR</t>
        </is>
      </c>
      <c r="AU34" t="n">
        <v>2019</v>
      </c>
      <c r="AV34" t="n">
        <v>41</v>
      </c>
      <c r="AW34" t="n">
        <v>3</v>
      </c>
      <c r="BB34" t="n">
        <v>338</v>
      </c>
      <c r="BC34" t="n">
        <v>354</v>
      </c>
      <c r="BE34" t="inlineStr">
        <is>
          <t>10.1177/0193945918781310</t>
        </is>
      </c>
      <c r="BF34">
        <f>HYPERLINK("http://dx.doi.org/10.1177/0193945918781310","http://dx.doi.org/10.1177/0193945918781310")</f>
        <v/>
      </c>
      <c r="BR34" t="inlineStr">
        <is>
          <t>2026-05-29</t>
        </is>
      </c>
      <c r="BS34" t="inlineStr">
        <is>
          <t>WOS:000458876200002</t>
        </is>
      </c>
      <c r="BT34">
        <f>HYPERLINK("https%3A%2F%2Fwww.webofscience.com%2Fwos%2Fwoscc%2Ffull-record%2FWOS:000458876200002","View Full Record in Web of Science")</f>
        <v/>
      </c>
      <c r="BU34">
        <f>COUNTIF('오픈소스&amp;직접수집'!F:F,'wos(corecollection)_260528'!BE34)</f>
        <v/>
      </c>
      <c r="BV34">
        <f>COUNTIF('오픈소스&amp;직접수집'!A:A,'wos(corecollection)_260528'!I34)</f>
        <v/>
      </c>
      <c r="BW34">
        <f>SUM(BU34:BV34)</f>
        <v/>
      </c>
    </row>
    <row r="35">
      <c r="A35" s="4" t="inlineStr">
        <is>
          <t>netminer 검색</t>
        </is>
      </c>
      <c r="B35" t="inlineStr">
        <is>
          <t>Kim, JY; Kim, YO</t>
        </is>
      </c>
      <c r="F35" t="inlineStr">
        <is>
          <t>Kim, Joo Young; Kim, Young Ook</t>
        </is>
      </c>
      <c r="I35" t="inlineStr">
        <is>
          <t>The association of spatial configuration with social network for elderly in social housing</t>
        </is>
      </c>
      <c r="J35" t="inlineStr">
        <is>
          <t>INDOOR AND BUILT ENVIRONMENT</t>
        </is>
      </c>
      <c r="N35" t="inlineStr">
        <is>
          <t>Article</t>
        </is>
      </c>
      <c r="V35" t="inlineStr">
        <is>
          <t>This study aimed to investigate the association of spatial configuration with social interaction for elderly. A social housing in Seoul was selected for the case study. Using space syntax and social network analysis, the association was examined statistically. This research employed an integration indicator which is most closely related to space use pattern. Questionnaire and interview surveys were conducted to illustrate the pattern of social network. Using the collected data, NetMiner was utilized to conduct a quantitative analysis. Degree, closeness and betweenness indicators were employed to measure relationships in these networks and between individuals. The characteristics of the association established by the statistical analysis between spatial network of housing estate and social network of elderly were discussed. Our results show that spatial network properties can explain characteristics of social network. The accessibility of residential spaces for elderly individuals in social housing apartment complex has an effect on the strength of the social network with neighbours. Also, analysis of the spatial configuration accessibility for the elderly population with integration values has illustrated that the result was opposite to the general theory that 'the locations with high accessibility could foster more interactions'. Our findings have suggested that we can have a better knowledge to foster more social network among elderly by planning improved spatial network.</t>
        </is>
      </c>
      <c r="W35" t="inlineStr">
        <is>
          <t>[Kim, Joo Young; Kim, Young Ook] Sejong Univ, Dept Architecture, Seoul, South Korea</t>
        </is>
      </c>
      <c r="Y35" t="inlineStr">
        <is>
          <t>Kim, YO (corresponding author), Sejong Univ, 98 Kunjadong Gwangjin Gu, Seoul 05006, South Korea.</t>
        </is>
      </c>
      <c r="Z35" t="inlineStr">
        <is>
          <t>yokim@sejong.ac.kr</t>
        </is>
      </c>
      <c r="AG35" t="n">
        <v>40</v>
      </c>
      <c r="AH35" t="n">
        <v>6</v>
      </c>
      <c r="AI35" t="n">
        <v>6</v>
      </c>
      <c r="AT35" t="inlineStr">
        <is>
          <t>MAR</t>
        </is>
      </c>
      <c r="AU35" t="n">
        <v>2020</v>
      </c>
      <c r="AV35" t="n">
        <v>29</v>
      </c>
      <c r="AW35" t="n">
        <v>3</v>
      </c>
      <c r="AZ35" t="inlineStr">
        <is>
          <t>SI</t>
        </is>
      </c>
      <c r="BB35" t="n">
        <v>405</v>
      </c>
      <c r="BC35" t="n">
        <v>416</v>
      </c>
      <c r="BE35" t="inlineStr">
        <is>
          <t>10.1177/1420326X17732612</t>
        </is>
      </c>
      <c r="BF35">
        <f>HYPERLINK("http://dx.doi.org/10.1177/1420326X17732612","http://dx.doi.org/10.1177/1420326X17732612")</f>
        <v/>
      </c>
      <c r="BR35" t="inlineStr">
        <is>
          <t>2026-05-29</t>
        </is>
      </c>
      <c r="BS35" t="inlineStr">
        <is>
          <t>WOS:000523823500009</t>
        </is>
      </c>
      <c r="BT35">
        <f>HYPERLINK("https%3A%2F%2Fwww.webofscience.com%2Fwos%2Fwoscc%2Ffull-record%2FWOS:000523823500009","View Full Record in Web of Science")</f>
        <v/>
      </c>
      <c r="BU35">
        <f>COUNTIF('오픈소스&amp;직접수집'!F:F,'wos(corecollection)_260528'!BE35)</f>
        <v/>
      </c>
      <c r="BV35">
        <f>COUNTIF('오픈소스&amp;직접수집'!A:A,'wos(corecollection)_260528'!I35)</f>
        <v/>
      </c>
      <c r="BW35">
        <f>SUM(BU35:BV35)</f>
        <v/>
      </c>
    </row>
    <row r="36">
      <c r="A36" s="4" t="inlineStr">
        <is>
          <t>netminer 검색</t>
        </is>
      </c>
      <c r="B36" t="inlineStr">
        <is>
          <t>Lee, SK; Hong, HS</t>
        </is>
      </c>
      <c r="F36" t="inlineStr">
        <is>
          <t>Lee, Soo-Kyoung; Hong, Hye Sun</t>
        </is>
      </c>
      <c r="I36" t="inlineStr">
        <is>
          <t>Text network analysis of research topics and trends on global health nursing literature from 1974-2017</t>
        </is>
      </c>
      <c r="J36" t="inlineStr">
        <is>
          <t>JOURNAL OF ADVANCED NURSING</t>
        </is>
      </c>
      <c r="N36" t="inlineStr">
        <is>
          <t>Article</t>
        </is>
      </c>
      <c r="V36" t="inlineStr">
        <is>
          <t>Aims The purpose of this study is to examine the relationship between keywords in existing global health nursing studies during 44 years (1974-2017) and to develop schematic diagrams of the relationship between these keywords from a macro perspective. It is to identify the trend of the literature in global health nursing field. Design A descriptive bibliometric analysis of publications in global health nursing. Methods The keywords from 7,115 articles and literatures were examined using the Text Rank Analyzer via the applied text network analysis with NetMiner 4.0. Results As for global health nursing, keywords with the most frequent appearance and the highest networking degree in centrality were 'study', 'patient', 'nurse', and 'women'. Six central keywords were also found highly related to other keywords: 'global health nursing', 'study', 'patient', 'care', 'nurse', and 'education'. By measuring the degree of keywords connected to other keywords in centrality, six clusters were established. Then, emerging topics assessed by time periods were identified as follows: the beginning phase ('breastfeeding', 'women', and 'children'), the development phase ('quality', 'life', and 'human immunodeficiency virus'), the maturation phase ('mental health', 'depression', and 'global health'), and the expansion phase ('pregnancy', 'palliative care', and 'infectious disease'). Conclusion The identified trends on this study will help nurse leaders to grasp the trends and insights for global health and to train future nurses to serve clients better in the practice fields. Impact Keywords with the highest appearance and centrality in the network were found in the global health articles. The bibliometric analysis showed various subjects according to the following phases: beginning development maturation and expansion. The awareness of the trend change in the global health helps nursing researchers and educators modify the curriculum of global health nursing and train future nurses to be equipped with the global health competencies.</t>
        </is>
      </c>
      <c r="W36" t="inlineStr">
        <is>
          <t>[Lee, Soo-Kyoung; Hong, Hye Sun] Keimyung Univ, Coll Nursing, Daegu, South Korea</t>
        </is>
      </c>
      <c r="Y36" t="inlineStr">
        <is>
          <t>Lee, SK (corresponding author), Keimyung Univ, Coll Nursing, Daegu, South Korea.</t>
        </is>
      </c>
      <c r="Z36" t="inlineStr">
        <is>
          <t>soo1005s@gmail.com</t>
        </is>
      </c>
      <c r="AG36" t="n">
        <v>44</v>
      </c>
      <c r="AH36" t="n">
        <v>6</v>
      </c>
      <c r="AI36" t="n">
        <v>6</v>
      </c>
      <c r="AT36" t="inlineStr">
        <is>
          <t>MAR</t>
        </is>
      </c>
      <c r="AU36" t="n">
        <v>2021</v>
      </c>
      <c r="AV36" t="n">
        <v>77</v>
      </c>
      <c r="AW36" t="n">
        <v>3</v>
      </c>
      <c r="BB36" t="n">
        <v>1325</v>
      </c>
      <c r="BC36" t="n">
        <v>1334</v>
      </c>
      <c r="BE36" t="inlineStr">
        <is>
          <t>10.1111/jan.14685</t>
        </is>
      </c>
      <c r="BF36">
        <f>HYPERLINK("http://dx.doi.org/10.1111/jan.14685","http://dx.doi.org/10.1111/jan.14685")</f>
        <v/>
      </c>
      <c r="BH36" t="inlineStr">
        <is>
          <t>DEC 2020</t>
        </is>
      </c>
      <c r="BR36" t="inlineStr">
        <is>
          <t>2026-05-29</t>
        </is>
      </c>
      <c r="BS36" t="inlineStr">
        <is>
          <t>WOS:000596469900001</t>
        </is>
      </c>
      <c r="BT36">
        <f>HYPERLINK("https%3A%2F%2Fwww.webofscience.com%2Fwos%2Fwoscc%2Ffull-record%2FWOS:000596469900001","View Full Record in Web of Science")</f>
        <v/>
      </c>
      <c r="BU36">
        <f>COUNTIF('오픈소스&amp;직접수집'!F:F,'wos(corecollection)_260528'!BE36)</f>
        <v/>
      </c>
      <c r="BV36">
        <f>COUNTIF('오픈소스&amp;직접수집'!A:A,'wos(corecollection)_260528'!I36)</f>
        <v/>
      </c>
      <c r="BW36">
        <f>SUM(BU36:BV36)</f>
        <v/>
      </c>
    </row>
    <row r="37">
      <c r="A37" s="4" t="inlineStr">
        <is>
          <t>netminer 검색</t>
        </is>
      </c>
      <c r="B37" t="inlineStr">
        <is>
          <t>Zhou, K; Yan, C; Xu, Y</t>
        </is>
      </c>
      <c r="F37" t="inlineStr">
        <is>
          <t>Zhou, Kuang; Yan, Chen; Xu, Yong</t>
        </is>
      </c>
      <c r="I37" t="inlineStr">
        <is>
          <t>The vulnerability of communities in complex networks: A causal perspective on dynamic retentivity</t>
        </is>
      </c>
      <c r="J37" t="inlineStr">
        <is>
          <t>RELIABILITY ENGINEERING &amp; SYSTEM SAFETY</t>
        </is>
      </c>
      <c r="N37" t="inlineStr">
        <is>
          <t>Article</t>
        </is>
      </c>
      <c r="V37" t="inlineStr">
        <is>
          <t>removing</t>
        </is>
      </c>
      <c r="W37" t="inlineStr">
        <is>
          <t>[Zhou, Kuang; Yan, Chen; Xu, Yong] Northwestern Polytech Univ, Sch Math &amp; Stat, Xian 710129, Shaanxi, Peoples R China; [Zhou, Kuang; Xu, Yong] Northwestern Polytech Univ, MOE Key Lab Complex Sci Aerosp, Xian 710129, Peoples R China</t>
        </is>
      </c>
      <c r="Y37" t="inlineStr">
        <is>
          <t>Zhou, K (corresponding author), Northwestern Polytech Univ, Sch Math &amp; Stat, Xian 710129, Shaanxi, Peoples R China.</t>
        </is>
      </c>
      <c r="Z37" t="inlineStr">
        <is>
          <t>kzhoumath@nwpu.edu.cn; 2021204670@mail.nwpu.edu.cn; hsux3@nwpu.edu.cn</t>
        </is>
      </c>
      <c r="AG37" t="n">
        <v>41</v>
      </c>
      <c r="AH37" t="n">
        <v>8</v>
      </c>
      <c r="AI37" t="n">
        <v>9</v>
      </c>
      <c r="AT37" t="inlineStr">
        <is>
          <t>OCT</t>
        </is>
      </c>
      <c r="AU37" t="n">
        <v>2025</v>
      </c>
      <c r="AV37" t="n">
        <v>262</v>
      </c>
      <c r="BD37" t="n">
        <v>111171</v>
      </c>
      <c r="BE37" t="inlineStr">
        <is>
          <t>10.1016/j.ress.2025.111171</t>
        </is>
      </c>
      <c r="BF37">
        <f>HYPERLINK("http://dx.doi.org/10.1016/j.ress.2025.111171","http://dx.doi.org/10.1016/j.ress.2025.111171")</f>
        <v/>
      </c>
      <c r="BH37" t="inlineStr">
        <is>
          <t>MAY 2025</t>
        </is>
      </c>
      <c r="BR37" t="inlineStr">
        <is>
          <t>2026-05-29</t>
        </is>
      </c>
      <c r="BS37" t="inlineStr">
        <is>
          <t>WOS:001492650900002</t>
        </is>
      </c>
      <c r="BT37">
        <f>HYPERLINK("https%3A%2F%2Fwww.webofscience.com%2Fwos%2Fwoscc%2Ffull-record%2FWOS:001492650900002","View Full Record in Web of Science")</f>
        <v/>
      </c>
      <c r="BU37">
        <f>COUNTIF('오픈소스&amp;직접수집'!F:F,'wos(corecollection)_260528'!BE37)</f>
        <v/>
      </c>
      <c r="BV37">
        <f>COUNTIF('오픈소스&amp;직접수집'!A:A,'wos(corecollection)_260528'!I37)</f>
        <v/>
      </c>
      <c r="BW37">
        <f>SUM(BU37:BV37)</f>
        <v/>
      </c>
    </row>
    <row r="38">
      <c r="A38" s="4" t="inlineStr">
        <is>
          <t>netminer 검색</t>
        </is>
      </c>
      <c r="B38" t="inlineStr">
        <is>
          <t>Zhu, R; Li, LH</t>
        </is>
      </c>
      <c r="F38" t="inlineStr">
        <is>
          <t>Zhu, Rui; Li, Lihong</t>
        </is>
      </c>
      <c r="I38" t="inlineStr">
        <is>
          <t>Intelligent construction technology based information sharing network for prefabricated building supply chain: a social network analysis approach</t>
        </is>
      </c>
      <c r="J38" t="inlineStr">
        <is>
          <t>KYBERNETES</t>
        </is>
      </c>
      <c r="N38" t="inlineStr">
        <is>
          <t>Article</t>
        </is>
      </c>
      <c r="V38" t="inlineStr">
        <is>
          <t>PurposeIn the context of Industry 4.0, intelligent construction technologies (ICT) represented by information technology and networking will undoubtedly provide new impetus to the development of the prefabricated building supply chain (PBSC), but they will also bring various potential risks. So far, there is a large lack of research on the comprehensive consideration of the risks associated with the intelligent transformation of PBSC based on the information sharing perspective, and the critical risks and interactions are still unclear, making it difficult to identify efficient risk mitigation strategies. Therefore, this paper aims to reveal the interactions between stakeholders and clarify the critical risk nodes and interactions in information sharing of PBSC (IS-PBSC), and propose targeted risk mitigation strategies.Design/methodology/approachFirstly, this paper creatively delineates the risks and critical stakeholders of IS-PBSC. Secondly, Data is collected through questionnaires to understand the degree of risks impact. Thirdly, with the help of NetMiner 4 software, social network analysis is conducted and IS-PBSC risk network is established to reveal critical risk nodes and interactions. Finally, further targeted discussion of critical risk nodes, the effectiveness and reasonableness of the risk mitigation strategies are proposed and verified through NetMiner 4 software simulation.FindingsThe results show that the critical risks cover the entire process of information sharing, with the lack of information management norms and other information assurance-related risks accounting for the largest proportion. In addition, the government dominates in risk control, followed by other stakeholders. The implementation of risk mitigation strategies is effective, with the overall network density reduced by 41.15% and network cohesion reduced by 24%.Research limitations/implicationsIn the context of Industry 4.0, ICT represented by information technology and networking will undoubtedly provide new impetus to the development of the PBSC, but they will also bring various potential risks. So far, there is a large lack of research on the comprehensive consideration of the risks associated with the intelligent transformation of PBSC based on the information sharing perspective, and the critical risks and interactions are still unclear, making it difficult to identify efficient risk mitigation strategies.Originality/valueBased on the results of risk network visualization analysis, this paper proposes an ICT-based IS-PBSC mechanism that promotes the development of the integration of ICT and PBSC while safeguarding the benefits of various stakeholders.</t>
        </is>
      </c>
      <c r="W38" t="inlineStr">
        <is>
          <t>[Zhu, Rui; Li, Lihong] Shenyang Jianzhu Univ, Sch Management, Shenyang, Peoples R China</t>
        </is>
      </c>
      <c r="Y38" t="inlineStr">
        <is>
          <t>Li, LH (corresponding author), Shenyang Jianzhu Univ, Sch Management, Shenyang, Peoples R China.</t>
        </is>
      </c>
      <c r="Z38" t="inlineStr">
        <is>
          <t>lilihong@sjzu.edu.cn</t>
        </is>
      </c>
      <c r="AG38" t="n">
        <v>79</v>
      </c>
      <c r="AH38" t="n">
        <v>0</v>
      </c>
      <c r="AI38" t="n">
        <v>0</v>
      </c>
      <c r="AT38" t="inlineStr">
        <is>
          <t>OCT 14</t>
        </is>
      </c>
      <c r="AU38" t="n">
        <v>2025</v>
      </c>
      <c r="AV38" t="n">
        <v>54</v>
      </c>
      <c r="AW38" t="n">
        <v>9</v>
      </c>
      <c r="BB38" t="n">
        <v>5158</v>
      </c>
      <c r="BC38" t="n">
        <v>5180</v>
      </c>
      <c r="BE38" t="inlineStr">
        <is>
          <t>10.1108/K-01-2024-0128</t>
        </is>
      </c>
      <c r="BF38">
        <f>HYPERLINK("http://dx.doi.org/10.1108/K-01-2024-0128","http://dx.doi.org/10.1108/K-01-2024-0128")</f>
        <v/>
      </c>
      <c r="BH38" t="inlineStr">
        <is>
          <t>APR 2024</t>
        </is>
      </c>
      <c r="BR38" t="inlineStr">
        <is>
          <t>2026-05-29</t>
        </is>
      </c>
      <c r="BS38" t="inlineStr">
        <is>
          <t>WOS:001208132700001</t>
        </is>
      </c>
      <c r="BT38">
        <f>HYPERLINK("https%3A%2F%2Fwww.webofscience.com%2Fwos%2Fwoscc%2Ffull-record%2FWOS:001208132700001","View Full Record in Web of Science")</f>
        <v/>
      </c>
      <c r="BU38">
        <f>COUNTIF('오픈소스&amp;직접수집'!F:F,'wos(corecollection)_260528'!BE38)</f>
        <v/>
      </c>
      <c r="BV38">
        <f>COUNTIF('오픈소스&amp;직접수집'!A:A,'wos(corecollection)_260528'!I38)</f>
        <v/>
      </c>
      <c r="BW38">
        <f>SUM(BU38:BV38)</f>
        <v/>
      </c>
    </row>
    <row r="39">
      <c r="A39" s="4" t="inlineStr">
        <is>
          <t>netminer 검색</t>
        </is>
      </c>
      <c r="B39" t="inlineStr">
        <is>
          <t>Sun, Y; Shao, YW; Chan, EHW</t>
        </is>
      </c>
      <c r="F39" t="inlineStr">
        <is>
          <t>Sun, Yao; Shao, Yiwen; Chan, Edwin H. W.</t>
        </is>
      </c>
      <c r="I39" s="4" t="inlineStr">
        <is>
          <t>Co-visitation network in tourism-driven peri-urban area based on social media analytics: A case study in Shenzhen, China</t>
        </is>
      </c>
      <c r="J39" t="inlineStr">
        <is>
          <t>LANDSCAPE AND URBAN PLANNING</t>
        </is>
      </c>
      <c r="N39" t="inlineStr">
        <is>
          <t>Article</t>
        </is>
      </c>
      <c r="V39" t="inlineStr">
        <is>
          <t>The peri-urban area has undergone tremendous changes in various aspects. Tourism-driven development in this area, echoing the longing of urban residents for recreational and leisure space, provides an alternative to conventional urbanization approaches. Particularly, in view of heightened conflicts and fierce competitions that often occur in the area, developing the knowledge of the co-visitation network, or how different attractions and villages interact with each other from the visitors' perspective, is key to more informed planning strategies. With the rapid development of online social media platforms and mobile devices, researchers can collect massive realtime data on the basis of online user-generated content. While there are already many attempts on its application on tourism design, few studies to date have explored how peri-urban attractions and villages are organized in same trips. In this paper, we design a new methodology on the basis of social media analytics to construct and map a co-visitation network, and apply NetMiner-enabled social network analysis to explain its structure and nodal functions. The usefulness of this methodology is demonstrated through a detailed case study in Shenzhen, China. Research findings reveal types of existing co-visitation patterns, which help planners predict future trends, design new experiences and take specific measures in line with visitor demands.</t>
        </is>
      </c>
      <c r="W39" t="inlineStr">
        <is>
          <t>[Sun, Yao] Jinan Univ, Shenzhen Tourism Coll, Shenzhen 518053, Guangdong, Peoples R China; [Shao, Yiwen] Shenzhen Univ, Sch Architecture &amp; Urban Planning, Shenzhen 518061, Guangdong, Peoples R China; [Chan, Edwin H. W.] Hong Kong Polytech Univ, Dept Bldg &amp; Real Estate, Hong Kong, Peoples R China</t>
        </is>
      </c>
      <c r="Y39" t="inlineStr">
        <is>
          <t>Shao, YW (corresponding author), Shenzhen Univ, Sch Architecture &amp; Urban Planning, Shenzhen 518061, Guangdong, Peoples R China.</t>
        </is>
      </c>
      <c r="Z39" t="inlineStr">
        <is>
          <t>sunyao@sz.jnu.edu.cn; yiwenshao@szu.edu.cn; bsedchan@polyu.edu.hk</t>
        </is>
      </c>
      <c r="AG39" t="n">
        <v>55</v>
      </c>
      <c r="AH39" t="n">
        <v>34</v>
      </c>
      <c r="AI39" t="n">
        <v>37</v>
      </c>
      <c r="AT39" t="inlineStr">
        <is>
          <t>DEC</t>
        </is>
      </c>
      <c r="AU39" t="n">
        <v>2020</v>
      </c>
      <c r="AV39" t="n">
        <v>204</v>
      </c>
      <c r="BD39" t="n">
        <v>103934</v>
      </c>
      <c r="BE39" t="inlineStr">
        <is>
          <t>10.1016/j.landurbplan.2020.103934</t>
        </is>
      </c>
      <c r="BF39">
        <f>HYPERLINK("http://dx.doi.org/10.1016/j.landurbplan.2020.103934","http://dx.doi.org/10.1016/j.landurbplan.2020.103934")</f>
        <v/>
      </c>
      <c r="BR39" t="inlineStr">
        <is>
          <t>2026-05-29</t>
        </is>
      </c>
      <c r="BS39" t="inlineStr">
        <is>
          <t>WOS:000579383300009</t>
        </is>
      </c>
      <c r="BT39">
        <f>HYPERLINK("https%3A%2F%2Fwww.webofscience.com%2Fwos%2Fwoscc%2Ffull-record%2FWOS:000579383300009","View Full Record in Web of Science")</f>
        <v/>
      </c>
      <c r="BU39">
        <f>COUNTIF('오픈소스&amp;직접수집'!F:F,'wos(corecollection)_260528'!BE39)</f>
        <v/>
      </c>
      <c r="BV39">
        <f>COUNTIF('오픈소스&amp;직접수집'!A:A,'wos(corecollection)_260528'!I39)</f>
        <v/>
      </c>
      <c r="BW39">
        <f>SUM(BU39:BV39)</f>
        <v/>
      </c>
    </row>
    <row r="40">
      <c r="A40" s="4" t="inlineStr">
        <is>
          <t>netminer 검색</t>
        </is>
      </c>
      <c r="B40" t="inlineStr">
        <is>
          <t>Lee, HJ; Kim, I</t>
        </is>
      </c>
      <c r="F40" t="inlineStr">
        <is>
          <t>Lee, HeeJeong Jasmine; Kim, In</t>
        </is>
      </c>
      <c r="I40" t="inlineStr">
        <is>
          <t>A Comparative Study of Social Network Tools for Analysing Chinese Elites</t>
        </is>
      </c>
      <c r="J40" t="inlineStr">
        <is>
          <t>KSII TRANSACTIONS ON INTERNET AND INFORMATION SYSTEMS</t>
        </is>
      </c>
      <c r="N40" t="inlineStr">
        <is>
          <t>Article</t>
        </is>
      </c>
      <c r="V40" t="inlineStr">
        <is>
          <t>For accurately analysing and forecasting the social networks of China's political, economic and social power elites, it is necessary to develop a database that collates their information. The development of such a database involves three stages: data definition, data collection and data quality maintenance. The present study recommends distinctive solutions in overcoming the challenges that occur in existing comparable databases. We used organizational and event factors to identify the Chinese power elites to be included in the database, and used their memberships, social relations and interactions in combination with flows data collection methodologies to determine the associations between them. The system can be used to determine the optimal relationship path (i.e., the shortest path) to reach a target elite and to identify of the most important power elite in a social network (e.g., degree, closeness and eigenvector centrality) or a community (e.g., a clique or a cluster). We have used three social network analysis tools (i.e., R, UCINET and NetMiner) in order to find the important nodes in the network. We compared the results of centrality rankings of each tool. We found that all three tools are providing slightly different results of centrality. This is because different tools use different algorithms and even within the same tool there are various libraries which provide the same functionality (i.e., ggraph, igraph and sna in R that provide the different function to calculate centrality). As there are chances that the results may not be the same (i.e. centrality rankings indicating the most important nodes can be varied), we recommend a comparison test using different tools to get accurate results.</t>
        </is>
      </c>
      <c r="W40" t="inlineStr">
        <is>
          <t>[Lee, HeeJeong Jasmine; Kim, In] PyeongTaek Univ, Pierson Coll, Pyeongtaek, South Korea</t>
        </is>
      </c>
      <c r="Y40" t="inlineStr">
        <is>
          <t>Kim, I (corresponding author), PyeongTaek Univ, Pierson Coll, Pyeongtaek, South Korea.</t>
        </is>
      </c>
      <c r="Z40" t="inlineStr">
        <is>
          <t>hjlee@ptu.ac.kr; kimin@ptu.ac.kr</t>
        </is>
      </c>
      <c r="AG40" t="n">
        <v>19</v>
      </c>
      <c r="AH40" t="n">
        <v>1</v>
      </c>
      <c r="AI40" t="n">
        <v>1</v>
      </c>
      <c r="AT40" t="inlineStr">
        <is>
          <t>OCT 31</t>
        </is>
      </c>
      <c r="AU40" t="n">
        <v>2021</v>
      </c>
      <c r="AV40" t="n">
        <v>15</v>
      </c>
      <c r="AW40" t="n">
        <v>10</v>
      </c>
      <c r="BB40" t="n">
        <v>3571</v>
      </c>
      <c r="BC40" t="n">
        <v>3587</v>
      </c>
      <c r="BE40" t="inlineStr">
        <is>
          <t>10.3837/tiis.2021.10.006</t>
        </is>
      </c>
      <c r="BF40">
        <f>HYPERLINK("http://dx.doi.org/10.3837/tiis.2021.10.006","http://dx.doi.org/10.3837/tiis.2021.10.006")</f>
        <v/>
      </c>
      <c r="BR40" t="inlineStr">
        <is>
          <t>2026-05-29</t>
        </is>
      </c>
      <c r="BS40" t="inlineStr">
        <is>
          <t>WOS:000714446400006</t>
        </is>
      </c>
      <c r="BT40">
        <f>HYPERLINK("https%3A%2F%2Fwww.webofscience.com%2Fwos%2Fwoscc%2Ffull-record%2FWOS:000714446400006","View Full Record in Web of Science")</f>
        <v/>
      </c>
      <c r="BU40">
        <f>COUNTIF('오픈소스&amp;직접수집'!F:F,'wos(corecollection)_260528'!BE40)</f>
        <v/>
      </c>
      <c r="BV40">
        <f>COUNTIF('오픈소스&amp;직접수집'!A:A,'wos(corecollection)_260528'!I40)</f>
        <v/>
      </c>
      <c r="BW40">
        <f>SUM(BU40:BV40)</f>
        <v/>
      </c>
    </row>
    <row r="41">
      <c r="A41" s="5" t="inlineStr">
        <is>
          <t>cyram 인용</t>
        </is>
      </c>
      <c r="B41" s="5" t="inlineStr">
        <is>
          <t>Yun, SY; Song, MO</t>
        </is>
      </c>
      <c r="C41" s="5" t="inlineStr"/>
      <c r="D41" s="5" t="inlineStr"/>
      <c r="E41" s="5" t="inlineStr"/>
      <c r="F41" s="5" t="inlineStr">
        <is>
          <t>Yun, So Young; Song, Mi Ok</t>
        </is>
      </c>
      <c r="G41" s="5" t="inlineStr"/>
      <c r="H41" s="5" t="inlineStr"/>
      <c r="I41" s="5" t="inlineStr">
        <is>
          <t>Unmet Healthcare Needs in COPD: A Text Network Analysis and Topic Modeling of Pre/Post-COVID-19 Research Trends</t>
        </is>
      </c>
      <c r="J41" s="5" t="inlineStr">
        <is>
          <t>HEALTHCARE</t>
        </is>
      </c>
      <c r="K41" s="5" t="inlineStr"/>
      <c r="L41" s="5" t="inlineStr"/>
      <c r="M41" s="5" t="inlineStr"/>
      <c r="N41" s="5" t="inlineStr">
        <is>
          <t>Article</t>
        </is>
      </c>
      <c r="O41" s="5" t="inlineStr"/>
      <c r="P41" s="5" t="inlineStr"/>
      <c r="Q41" s="5" t="inlineStr"/>
      <c r="R41" s="5" t="inlineStr"/>
      <c r="S41" s="5" t="inlineStr"/>
      <c r="T41" s="5" t="inlineStr"/>
      <c r="U41" s="5" t="inlineStr"/>
      <c r="V41" s="5" t="inlineStr">
        <is>
          <t>Highlights What are the main findings? Research on COPD increasingly recognizes that patients face barriers not only in treatment but also in diagnosis, rehabilitation, and access to medicines. Since COVID-19, studies have shifted toward digital tools, remote support, and fairer access to medication and services. What are the implications of the main findings? Improving care for people with COPD means building health systems that see the whole person-addressing medical needs alongside access, affordability, and support. Expanding digital care options, strengthening rehabilitation programs, and ensuring fair access to treatment can help people with COPD live healthier, more stable lives.Highlights What are the main findings? Research on COPD increasingly recognizes that patients face barriers not only in treatment but also in diagnosis, rehabilitation, and access to medicines. Since COVID-19, studies have shifted toward digital tools, remote support, and fairer access to medication and services. What are the implications of the main findings? Improving care for people with COPD means building health systems that see the whole person-addressing medical needs alongside access, affordability, and support. Expanding digital care options, strengthening rehabilitation programs, and ensuring fair access to treatment can help people with COPD live healthier, more stable lives.Abstract Background/Objectives: Unmet healthcare needs, driven by structural and patient-level barriers, are particularly critical in chronic obstructive pulmonary disease (COPD). However, limited research has examined how academic themes on this topic connect and evolve over time. This study analyzed the structure and temporal shifts in research trends on unmet healthcare needs in COPD to identify key concepts and topics and policy implications. Methods: We systematically searched PubMed, Embase, and CINAHL (12-15 March 2025) to identify English-language abstracts on unmet healthcare needs in COPD. Eligible studies were peer-reviewed articles with an English-language abstract that examined unmet healthcare needs from the patient perspective. In total, 451 abstracts were analyzed using text network analysis and Latent Dirichlet Allocation. Topic distributions before and after the coronavirus disease pandemic were assessed using chi-square tests, and findings were interpreted within Penchansky and Thomas's 5A healthcare access framework. Results: Six topics emerged: socioeconomic disparities, early diagnosis and symptom management, guideline-based information and technology use, integrated care for advanced COPD, access to pulmonary rehabilitation, and equitable medication availability. These topics mapped onto all five access dimensions, underscoring the multidimensional nature of unmet healthcare needs. Network analysis identified management, diagnosis, symptoms, exacerbation, and other related terms as central hubs in the discourse. Post-pandemic, research shifted toward digital information delivery, technology adoption, and equitable pharmacotherapy. Conclusions: Findings suggest that reducing unmet healthcare needs in COPD requires integrated systems that address both disease complexity and access barriers. Targeted, multidisciplinary, and policy-driven interventions in highly central domains are needed to reduce disparities and improve outcomes. This study also confirmed a post-pandemic shift in research priorities, emphasizing the need for equitable and adaptive healthcare policies.</t>
        </is>
      </c>
      <c r="W41" s="5" t="inlineStr">
        <is>
          <t>[Yun, So Young] Nambu Univ, Dept Nursing, Gwangju 62271, South Korea; [Song, Mi Ok] Mokpo Natl Univ, Dept Nursing, Muan 58554, South Korea</t>
        </is>
      </c>
      <c r="X41" s="5" t="inlineStr"/>
      <c r="Y41" s="5" t="inlineStr">
        <is>
          <t>Song, MO (corresponding author), Mokpo Natl Univ, Dept Nursing, Muan 58554, South Korea.</t>
        </is>
      </c>
      <c r="Z41" s="5" t="inlineStr">
        <is>
          <t>yunsy@nambu.ac.kr; coffeesong@mnu.ac.kr</t>
        </is>
      </c>
      <c r="AA41" s="5" t="inlineStr"/>
      <c r="AB41" s="5" t="inlineStr"/>
      <c r="AC41" s="5" t="inlineStr"/>
      <c r="AD41" s="5" t="inlineStr"/>
      <c r="AE41" s="5" t="inlineStr"/>
      <c r="AF41" s="5" t="inlineStr"/>
      <c r="AG41" s="5" t="n">
        <v>37</v>
      </c>
      <c r="AH41" s="5" t="n">
        <v>0</v>
      </c>
      <c r="AI41" s="5" t="n">
        <v>0</v>
      </c>
      <c r="AJ41" s="5" t="inlineStr"/>
      <c r="AK41" s="5" t="inlineStr"/>
      <c r="AL41" s="5" t="inlineStr"/>
      <c r="AM41" s="5" t="inlineStr"/>
      <c r="AN41" s="5" t="inlineStr"/>
      <c r="AO41" s="5" t="inlineStr"/>
      <c r="AP41" s="5" t="inlineStr"/>
      <c r="AQ41" s="5" t="inlineStr"/>
      <c r="AR41" s="5" t="inlineStr"/>
      <c r="AS41" s="5" t="inlineStr"/>
      <c r="AT41" s="5" t="inlineStr">
        <is>
          <t>DEC 29</t>
        </is>
      </c>
      <c r="AU41" s="5" t="n">
        <v>2025</v>
      </c>
      <c r="AV41" s="5" t="n">
        <v>14</v>
      </c>
      <c r="AW41" s="5" t="n">
        <v>1</v>
      </c>
      <c r="AX41" s="5" t="inlineStr"/>
      <c r="AY41" s="5" t="inlineStr"/>
      <c r="AZ41" s="5" t="inlineStr"/>
      <c r="BA41" s="5" t="inlineStr"/>
      <c r="BB41" s="5" t="inlineStr"/>
      <c r="BC41" s="5" t="inlineStr"/>
      <c r="BD41" s="5" t="n">
        <v>82</v>
      </c>
      <c r="BE41" s="5" t="inlineStr">
        <is>
          <t>10.3390/healthcare14010082</t>
        </is>
      </c>
      <c r="BF41" s="5" t="n">
        <v>0</v>
      </c>
      <c r="BG41" s="5" t="inlineStr"/>
      <c r="BH41" s="5" t="inlineStr"/>
      <c r="BI41" s="5" t="inlineStr"/>
      <c r="BJ41" s="5" t="inlineStr"/>
      <c r="BK41" s="5" t="inlineStr"/>
      <c r="BL41" s="5" t="inlineStr"/>
      <c r="BM41" s="5" t="inlineStr"/>
      <c r="BN41" s="5" t="inlineStr"/>
      <c r="BO41" s="5" t="inlineStr"/>
      <c r="BP41" s="5" t="inlineStr"/>
      <c r="BQ41" s="5" t="inlineStr"/>
      <c r="BR41" s="5" t="inlineStr">
        <is>
          <t>2026-05-29</t>
        </is>
      </c>
      <c r="BS41" s="5" t="inlineStr">
        <is>
          <t>WOS:001657361300001</t>
        </is>
      </c>
      <c r="BT41" s="5" t="n">
        <v>0</v>
      </c>
      <c r="BU41">
        <f>COUNTIF('오픈소스&amp;직접수집'!F:F,'wos(corecollection)_260528'!BE41)</f>
        <v/>
      </c>
      <c r="BV41">
        <f>COUNTIF('오픈소스&amp;직접수집'!A:A,'wos(corecollection)_260528'!I41)</f>
        <v/>
      </c>
      <c r="BW41">
        <f>SUM(BU41:BV41)</f>
        <v/>
      </c>
    </row>
    <row r="42">
      <c r="A42" s="5" t="inlineStr">
        <is>
          <t>cyram 인용</t>
        </is>
      </c>
      <c r="B42" s="5" t="inlineStr">
        <is>
          <t>Kim, J; Chun, J</t>
        </is>
      </c>
      <c r="C42" s="5" t="inlineStr"/>
      <c r="D42" s="5" t="inlineStr"/>
      <c r="E42" s="5" t="inlineStr"/>
      <c r="F42" s="5" t="inlineStr">
        <is>
          <t>Kim, Jinyung; Chun, Jongserl</t>
        </is>
      </c>
      <c r="G42" s="5" t="inlineStr"/>
      <c r="H42" s="5" t="inlineStr"/>
      <c r="I42" s="5" t="inlineStr">
        <is>
          <t>Korean adolescent's cigarette, e-cigarette, and dual use within the peer network context: A mixed methods study</t>
        </is>
      </c>
      <c r="J42" s="5" t="inlineStr">
        <is>
          <t>JOURNAL OF HUMAN BEHAVIOR IN THE SOCIAL ENVIRONMENT</t>
        </is>
      </c>
      <c r="K42" s="5" t="inlineStr"/>
      <c r="L42" s="5" t="inlineStr"/>
      <c r="M42" s="5" t="inlineStr"/>
      <c r="N42" s="5" t="inlineStr">
        <is>
          <t>Article; Early Access</t>
        </is>
      </c>
      <c r="O42" s="5" t="inlineStr"/>
      <c r="P42" s="5" t="inlineStr"/>
      <c r="Q42" s="5" t="inlineStr"/>
      <c r="R42" s="5" t="inlineStr"/>
      <c r="S42" s="5" t="inlineStr"/>
      <c r="T42" s="5" t="inlineStr"/>
      <c r="U42" s="5" t="inlineStr"/>
      <c r="V42" s="5" t="inlineStr">
        <is>
          <t>The current study aims to investigate the relationship between peer network and smoking behavior, taking into account the structural, positional, and contextual aspects of the network. Using an explanatory sequential mixed methods design, a total of 73 Korean adolescents participated in the survey and seven current smokers from three sub-networks were invited for individual qualitative interviews. The quantitative findings revealed that out-degree centrality was associated with ever cigarette use and dual use, while betweenness centrality was related to ever cigarette use only. In the qualitative strand, three themes were identified: Fully assimilating into the mainstream, forced to stay within the boundary, and being introduced to new items and culture through the information network. The integrated findings provided deeper context and reasons for a higher in-degree centrality for dual-user network and a higher out-degree centrality for out-of-school adolescent network, the social hierarchy of adolescents in relation to cohesion index and clustering coefficient, and the type of information shared within the network. This study identified vulnerable individuals and groups in the peer network with regard to smoking and explored the smoking norms and culture of Korean adolescents within the network structure.</t>
        </is>
      </c>
      <c r="W42" s="5" t="inlineStr">
        <is>
          <t>[Kim, Jinyung] Univ Maryland, Sch Social Work, Baltimore, MD USA; [Chun, Jongserl] Ewha Womans Univ, Dept Social Welf, Seoul, South Korea</t>
        </is>
      </c>
      <c r="X42" s="5" t="inlineStr"/>
      <c r="Y42" s="5" t="inlineStr">
        <is>
          <t>Kim, J (corresponding author), Univ Oklahoma, Anne &amp; Henry Zarrow Sch Social Work, 700 Elm Ave,Zarrow Hall, Norman, OK 73069 USA.</t>
        </is>
      </c>
      <c r="Z42" s="5" t="inlineStr">
        <is>
          <t>jinyung.kim-1@ou.edu</t>
        </is>
      </c>
      <c r="AA42" s="5" t="inlineStr"/>
      <c r="AB42" s="5" t="inlineStr"/>
      <c r="AC42" s="5" t="inlineStr"/>
      <c r="AD42" s="5" t="inlineStr"/>
      <c r="AE42" s="5" t="inlineStr"/>
      <c r="AF42" s="5" t="inlineStr"/>
      <c r="AG42" s="5" t="n">
        <v>43</v>
      </c>
      <c r="AH42" s="5" t="n">
        <v>0</v>
      </c>
      <c r="AI42" s="5" t="n">
        <v>0</v>
      </c>
      <c r="AJ42" s="5" t="inlineStr"/>
      <c r="AK42" s="5" t="inlineStr"/>
      <c r="AL42" s="5" t="inlineStr"/>
      <c r="AM42" s="5" t="inlineStr"/>
      <c r="AN42" s="5" t="inlineStr"/>
      <c r="AO42" s="5" t="inlineStr"/>
      <c r="AP42" s="5" t="inlineStr"/>
      <c r="AQ42" s="5" t="inlineStr"/>
      <c r="AR42" s="5" t="inlineStr"/>
      <c r="AS42" s="5" t="inlineStr"/>
      <c r="AT42" s="5" t="inlineStr">
        <is>
          <t>2025 AUG 25</t>
        </is>
      </c>
      <c r="AU42" s="5" t="n">
        <v>2025</v>
      </c>
      <c r="AV42" s="5" t="inlineStr"/>
      <c r="AW42" s="5" t="inlineStr"/>
      <c r="AX42" s="5" t="inlineStr"/>
      <c r="AY42" s="5" t="inlineStr"/>
      <c r="AZ42" s="5" t="inlineStr"/>
      <c r="BA42" s="5" t="inlineStr"/>
      <c r="BB42" s="5" t="inlineStr"/>
      <c r="BC42" s="5" t="inlineStr"/>
      <c r="BD42" s="5" t="inlineStr"/>
      <c r="BE42" s="5" t="inlineStr">
        <is>
          <t>10.1080/10911359.2025.2548550</t>
        </is>
      </c>
      <c r="BF42" s="5" t="n">
        <v>0</v>
      </c>
      <c r="BG42" s="5" t="inlineStr"/>
      <c r="BH42" s="5" t="inlineStr">
        <is>
          <t>AUG 2025</t>
        </is>
      </c>
      <c r="BI42" s="5" t="inlineStr"/>
      <c r="BJ42" s="5" t="inlineStr"/>
      <c r="BK42" s="5" t="inlineStr"/>
      <c r="BL42" s="5" t="inlineStr"/>
      <c r="BM42" s="5" t="inlineStr"/>
      <c r="BN42" s="5" t="inlineStr"/>
      <c r="BO42" s="5" t="inlineStr"/>
      <c r="BP42" s="5" t="inlineStr"/>
      <c r="BQ42" s="5" t="inlineStr"/>
      <c r="BR42" s="5" t="inlineStr">
        <is>
          <t>2026-05-29</t>
        </is>
      </c>
      <c r="BS42" s="5" t="inlineStr">
        <is>
          <t>WOS:001556697000001</t>
        </is>
      </c>
      <c r="BT42" s="5" t="n">
        <v>0</v>
      </c>
      <c r="BU42">
        <f>COUNTIF('오픈소스&amp;직접수집'!F:F,'wos(corecollection)_260528'!BE42)</f>
        <v/>
      </c>
      <c r="BV42">
        <f>COUNTIF('오픈소스&amp;직접수집'!A:A,'wos(corecollection)_260528'!I42)</f>
        <v/>
      </c>
      <c r="BW42">
        <f>SUM(BU42:BV42)</f>
        <v/>
      </c>
    </row>
    <row r="43">
      <c r="A43" s="5" t="inlineStr">
        <is>
          <t>cyram 인용</t>
        </is>
      </c>
      <c r="B43" s="5" t="inlineStr">
        <is>
          <t>Ahn, S; Jeong, HW</t>
        </is>
      </c>
      <c r="C43" s="5" t="inlineStr"/>
      <c r="D43" s="5" t="inlineStr"/>
      <c r="E43" s="5" t="inlineStr"/>
      <c r="F43" s="5" t="inlineStr">
        <is>
          <t>Ahn, Shinhye; Jeong, Hye Won</t>
        </is>
      </c>
      <c r="G43" s="5" t="inlineStr"/>
      <c r="H43" s="5" t="inlineStr"/>
      <c r="I43" s="5" t="inlineStr">
        <is>
          <t>Analysis of clinical nurse educators' mentoring feedback on new nurse journals at a tertiary hospital in South Korea: utilizing text network analysis</t>
        </is>
      </c>
      <c r="J43" s="5" t="inlineStr">
        <is>
          <t>BMC NURSING</t>
        </is>
      </c>
      <c r="K43" s="5" t="inlineStr"/>
      <c r="L43" s="5" t="inlineStr"/>
      <c r="M43" s="5" t="inlineStr"/>
      <c r="N43" s="5" t="inlineStr">
        <is>
          <t>Article</t>
        </is>
      </c>
      <c r="O43" s="5" t="inlineStr"/>
      <c r="P43" s="5" t="inlineStr"/>
      <c r="Q43" s="5" t="inlineStr"/>
      <c r="R43" s="5" t="inlineStr"/>
      <c r="S43" s="5" t="inlineStr"/>
      <c r="T43" s="5" t="inlineStr"/>
      <c r="U43" s="5" t="inlineStr"/>
      <c r="V43" s="5" t="inlineStr">
        <is>
          <t>BackgroundThe gap between knowledge and clinical practice causes stress and reality shock, contributing to low job satisfaction and high turnover among new nurses; in 2023, the turnover rate in South Korea reached 52.4%. Korean preceptorship programs are often too brief to adequately support new nurses' adaptation. Clinical nurse educators (CNEs) play a crucial role in addressing these issues by offering knowledge transfer, emotional support, and career guidance. Therefore, strategies to strengthen CNEs' coaching and mentoring skills are essential to support new nurses' stable clinical adaptation. This study analyzed how CNEs mentored new hospital nurses by responding to their post-entry journals.MethodsThis study employed a quantitative content analysis. We used NetMiner 4.5.1 to conduct a text network analysis of 1,742 mentoring journal responses written by four CNEs for 120 new nurses at C University Hospital in South Korea between June 2021 and May 2022.ResultsThe keyword attitude had the highest frequency (726), emphasizing the clinical importance of fostering positive attitudes among new nurses. The keyword network had average centrality measures of degree (.15), closeness (.43), and betweenness (.05). Keywords with high centrality, such as attitude, importance, performance, and difficulty, highlighted mentoring practices focused on enhancing clinical judgment, nursing performance, and managing workplace challenges. Eigenvector analysis identified three subtopic groups with optimal modularity (.295). Subthemes included: 1) helping new nurses to improve their professional competence, 2) encouraging new nurses struggling to adapt to the field, and 3) empathy for new nurses' burdens and stress.ConclusionsThe findings revealed that the CNEs' mentoring feedback focused on encouraging new nurses to maintain a positive attitude, inspiring their personal and professional growth, and offering empathy and encouragement to help them cope with burdens and stress. Based on these findings, targeted training modules for CNEs and mentoring guidelines should be developed to further support new nurses' adaptation to clinical practice.</t>
        </is>
      </c>
      <c r="W43" s="5" t="inlineStr">
        <is>
          <t>[Ahn, Shinhye] Sunchon Natl Univ, Dept Nursing, Suncheon Si, Jeollanam Do, South Korea; [Jeong, Hye Won] Korea Natl Univ Transportat, Dept Nursing, 61 Daehak Ro, Jeungpyeong 27909, Chungcheongbuk, South Korea</t>
        </is>
      </c>
      <c r="X43" s="5" t="inlineStr"/>
      <c r="Y43" s="5" t="inlineStr">
        <is>
          <t>Jeong, HW (corresponding author), Korea Natl Univ Transportat, Dept Nursing, 61 Daehak Ro, Jeungpyeong 27909, Chungcheongbuk, South Korea.</t>
        </is>
      </c>
      <c r="Z43" s="5" t="inlineStr">
        <is>
          <t>hyewon1129@ut.ac.kr</t>
        </is>
      </c>
      <c r="AA43" s="5" t="inlineStr"/>
      <c r="AB43" s="5" t="inlineStr"/>
      <c r="AC43" s="5" t="inlineStr"/>
      <c r="AD43" s="5" t="inlineStr"/>
      <c r="AE43" s="5" t="inlineStr"/>
      <c r="AF43" s="5" t="inlineStr"/>
      <c r="AG43" s="5" t="n">
        <v>36</v>
      </c>
      <c r="AH43" s="5" t="n">
        <v>0</v>
      </c>
      <c r="AI43" s="5" t="n">
        <v>0</v>
      </c>
      <c r="AJ43" s="5" t="inlineStr"/>
      <c r="AK43" s="5" t="inlineStr"/>
      <c r="AL43" s="5" t="inlineStr"/>
      <c r="AM43" s="5" t="inlineStr"/>
      <c r="AN43" s="5" t="inlineStr"/>
      <c r="AO43" s="5" t="inlineStr"/>
      <c r="AP43" s="5" t="inlineStr"/>
      <c r="AQ43" s="5" t="inlineStr"/>
      <c r="AR43" s="5" t="inlineStr"/>
      <c r="AS43" s="5" t="inlineStr"/>
      <c r="AT43" s="5" t="inlineStr">
        <is>
          <t>AUG 5</t>
        </is>
      </c>
      <c r="AU43" s="5" t="n">
        <v>2025</v>
      </c>
      <c r="AV43" s="5" t="n">
        <v>24</v>
      </c>
      <c r="AW43" s="5" t="n">
        <v>1</v>
      </c>
      <c r="AX43" s="5" t="inlineStr"/>
      <c r="AY43" s="5" t="inlineStr"/>
      <c r="AZ43" s="5" t="inlineStr"/>
      <c r="BA43" s="5" t="inlineStr"/>
      <c r="BB43" s="5" t="inlineStr"/>
      <c r="BC43" s="5" t="inlineStr"/>
      <c r="BD43" s="5" t="n">
        <v>1016</v>
      </c>
      <c r="BE43" s="5" t="inlineStr">
        <is>
          <t>10.1186/s12912-025-03625-5</t>
        </is>
      </c>
      <c r="BF43" s="5" t="n">
        <v>0</v>
      </c>
      <c r="BG43" s="5" t="inlineStr"/>
      <c r="BH43" s="5" t="inlineStr"/>
      <c r="BI43" s="5" t="inlineStr"/>
      <c r="BJ43" s="5" t="inlineStr"/>
      <c r="BK43" s="5" t="inlineStr"/>
      <c r="BL43" s="5" t="inlineStr"/>
      <c r="BM43" s="5" t="inlineStr"/>
      <c r="BN43" s="5" t="inlineStr"/>
      <c r="BO43" s="5" t="inlineStr"/>
      <c r="BP43" s="5" t="inlineStr"/>
      <c r="BQ43" s="5" t="inlineStr"/>
      <c r="BR43" s="5" t="inlineStr">
        <is>
          <t>2026-05-29</t>
        </is>
      </c>
      <c r="BS43" s="5" t="inlineStr">
        <is>
          <t>WOS:001545465400002</t>
        </is>
      </c>
      <c r="BT43" s="5" t="n">
        <v>0</v>
      </c>
      <c r="BU43">
        <f>COUNTIF('오픈소스&amp;직접수집'!F:F,'wos(corecollection)_260528'!BE43)</f>
        <v/>
      </c>
      <c r="BV43">
        <f>COUNTIF('오픈소스&amp;직접수집'!A:A,'wos(corecollection)_260528'!I43)</f>
        <v/>
      </c>
      <c r="BW43">
        <f>SUM(BU43:BV43)</f>
        <v/>
      </c>
    </row>
    <row r="44">
      <c r="A44" s="5" t="inlineStr">
        <is>
          <t>cyram 인용</t>
        </is>
      </c>
      <c r="B44" s="5" t="inlineStr">
        <is>
          <t>Park, KR; Lee, K; Park, S</t>
        </is>
      </c>
      <c r="C44" s="5" t="inlineStr"/>
      <c r="D44" s="5" t="inlineStr"/>
      <c r="E44" s="5" t="inlineStr"/>
      <c r="F44" s="5" t="inlineStr">
        <is>
          <t>Park, Keon-Ryeong; Lee, Kyunghwa; Park, Sukyoung</t>
        </is>
      </c>
      <c r="G44" s="5" t="inlineStr"/>
      <c r="H44" s="5" t="inlineStr"/>
      <c r="I44" s="5" t="inlineStr">
        <is>
          <t>An Analysis of Publications in Early Childhood Education Journal Through LDA Topic Modeling: Exploring Research Trends From 2000 to 2023</t>
        </is>
      </c>
      <c r="J44" s="5" t="inlineStr">
        <is>
          <t>EARLY CHILDHOOD EDUCATION JOURNAL</t>
        </is>
      </c>
      <c r="K44" s="5" t="inlineStr"/>
      <c r="L44" s="5" t="inlineStr"/>
      <c r="M44" s="5" t="inlineStr"/>
      <c r="N44" s="5" t="inlineStr">
        <is>
          <t>Review; Early Access</t>
        </is>
      </c>
      <c r="O44" s="5" t="inlineStr"/>
      <c r="P44" s="5" t="inlineStr"/>
      <c r="Q44" s="5" t="inlineStr"/>
      <c r="R44" s="5" t="inlineStr"/>
      <c r="S44" s="5" t="inlineStr"/>
      <c r="T44" s="5" t="inlineStr"/>
      <c r="U44" s="5" t="inlineStr"/>
      <c r="V44" s="5" t="inlineStr">
        <is>
          <t>This study applied Blei et al.'s (Journal of Machine Learning Research 3:993-1022, 2003) Latent Dirichlet Allocation (LDA) topic modeling to analyze 1,727 research articles published in Early Childhood Education Journal (ECEJ) from 2000 to 2023. LDA is a probability-based analysis model effective for discovering hidden topics within large sets of textual data. The purpose of this study was to identify underlying research trends and thematic shifts in ECEJ publications during this period by examining trends in publication numbers, keyword frequencies, and topic emergence. The analysis results revealed a significant increase in published papers during the 2020-2023 period, with 2023 recording the highest number of publications. Keyword frequency analysis identified young children, teachers, and preschools as the three most frequently used keywords, underscoring a consistent focus on children in their early years, their educators, and educational settings. Trends in research topics highlighted an enduring focus on Reading and Young Children's Literature, the most dominant topic over the past 24 years, reflecting the connections to federal and state educational policies promoting early reading and literacy. Additionally, the analysis demonstrated the impact of the COVID-19 pandemic on research priorities, with Teacher Perceptions and Distance Education during COVID-19 emerging as the second most prevalent topic since 2000. The article concludes by discussing implications for future directions in early childhood research.</t>
        </is>
      </c>
      <c r="W44" s="5" t="inlineStr">
        <is>
          <t>[Park, Keon-Ryeong] Korea Natl Univ Educ, Res Inst Early Childhood Educ, 250 Taeseongtabyeon Ro,Gangnae Myeon, Cheongju, South Korea; [Lee, Kyunghwa] Univ Georgia, Dept Educ Theory &amp; Practice, 110 Carlton St, Athens, GA 30602 USA; [Park, Sukyoung] Konkuk Univ, Dept Educ Technol, 120 Neungdong Ro, Seoul 05029, South Korea</t>
        </is>
      </c>
      <c r="X44" s="5" t="inlineStr"/>
      <c r="Y44" s="5" t="inlineStr">
        <is>
          <t>Park, S (corresponding author), Konkuk Univ, Dept Educ Technol, 120 Neungdong Ro, Seoul 05029, South Korea.</t>
        </is>
      </c>
      <c r="Z44" s="5" t="inlineStr">
        <is>
          <t>parksk@konkuk.ac.kr</t>
        </is>
      </c>
      <c r="AA44" s="5" t="inlineStr"/>
      <c r="AB44" s="5" t="inlineStr"/>
      <c r="AC44" s="5" t="inlineStr"/>
      <c r="AD44" s="5" t="inlineStr"/>
      <c r="AE44" s="5" t="inlineStr"/>
      <c r="AF44" s="5" t="inlineStr"/>
      <c r="AG44" s="5" t="n">
        <v>22</v>
      </c>
      <c r="AH44" s="5" t="n">
        <v>0</v>
      </c>
      <c r="AI44" s="5" t="n">
        <v>0</v>
      </c>
      <c r="AJ44" s="5" t="inlineStr"/>
      <c r="AK44" s="5" t="inlineStr"/>
      <c r="AL44" s="5" t="inlineStr"/>
      <c r="AM44" s="5" t="inlineStr"/>
      <c r="AN44" s="5" t="inlineStr"/>
      <c r="AO44" s="5" t="inlineStr"/>
      <c r="AP44" s="5" t="inlineStr"/>
      <c r="AQ44" s="5" t="inlineStr"/>
      <c r="AR44" s="5" t="inlineStr"/>
      <c r="AS44" s="5" t="inlineStr"/>
      <c r="AT44" s="5" t="inlineStr">
        <is>
          <t>2025 JUN 12</t>
        </is>
      </c>
      <c r="AU44" s="5" t="n">
        <v>2025</v>
      </c>
      <c r="AV44" s="5" t="inlineStr"/>
      <c r="AW44" s="5" t="inlineStr"/>
      <c r="AX44" s="5" t="inlineStr"/>
      <c r="AY44" s="5" t="inlineStr"/>
      <c r="AZ44" s="5" t="inlineStr"/>
      <c r="BA44" s="5" t="inlineStr"/>
      <c r="BB44" s="5" t="inlineStr"/>
      <c r="BC44" s="5" t="inlineStr"/>
      <c r="BD44" s="5" t="inlineStr"/>
      <c r="BE44" s="5" t="inlineStr">
        <is>
          <t>10.1007/s10643-025-01932-9</t>
        </is>
      </c>
      <c r="BF44" s="5" t="n">
        <v>0</v>
      </c>
      <c r="BG44" s="5" t="inlineStr"/>
      <c r="BH44" s="5" t="inlineStr">
        <is>
          <t>JUN 2025</t>
        </is>
      </c>
      <c r="BI44" s="5" t="inlineStr"/>
      <c r="BJ44" s="5" t="inlineStr"/>
      <c r="BK44" s="5" t="inlineStr"/>
      <c r="BL44" s="5" t="inlineStr"/>
      <c r="BM44" s="5" t="inlineStr"/>
      <c r="BN44" s="5" t="inlineStr"/>
      <c r="BO44" s="5" t="inlineStr"/>
      <c r="BP44" s="5" t="inlineStr"/>
      <c r="BQ44" s="5" t="inlineStr"/>
      <c r="BR44" s="5" t="inlineStr">
        <is>
          <t>2026-05-29</t>
        </is>
      </c>
      <c r="BS44" s="5" t="inlineStr">
        <is>
          <t>WOS:001506957700001</t>
        </is>
      </c>
      <c r="BT44" s="5" t="n">
        <v>0</v>
      </c>
      <c r="BU44">
        <f>COUNTIF('오픈소스&amp;직접수집'!F:F,'wos(corecollection)_260528'!BE44)</f>
        <v/>
      </c>
      <c r="BV44">
        <f>COUNTIF('오픈소스&amp;직접수집'!A:A,'wos(corecollection)_260528'!I44)</f>
        <v/>
      </c>
      <c r="BW44">
        <f>SUM(BU44:BV44)</f>
        <v/>
      </c>
    </row>
    <row r="45">
      <c r="A45" s="5" t="inlineStr">
        <is>
          <t>cyram 인용</t>
        </is>
      </c>
      <c r="B45" s="5" t="inlineStr">
        <is>
          <t>Siudak, D</t>
        </is>
      </c>
      <c r="C45" s="5" t="inlineStr"/>
      <c r="D45" s="5" t="inlineStr"/>
      <c r="E45" s="5" t="inlineStr"/>
      <c r="F45" s="5" t="inlineStr">
        <is>
          <t>Siudak, Dariusz</t>
        </is>
      </c>
      <c r="G45" s="5" t="inlineStr"/>
      <c r="H45" s="5" t="inlineStr"/>
      <c r="I45" s="5" t="inlineStr">
        <is>
          <t>The dependency structure of the financial multiplex network model: New evidence from the cross-correlation of idiosyncratic returns, volatility, and trading volume</t>
        </is>
      </c>
      <c r="J45" s="5" t="inlineStr">
        <is>
          <t>PLOS ONE</t>
        </is>
      </c>
      <c r="K45" s="5" t="inlineStr"/>
      <c r="L45" s="5" t="inlineStr"/>
      <c r="M45" s="5" t="inlineStr"/>
      <c r="N45" s="5" t="inlineStr">
        <is>
          <t>Article</t>
        </is>
      </c>
      <c r="O45" s="5" t="inlineStr"/>
      <c r="P45" s="5" t="inlineStr"/>
      <c r="Q45" s="5" t="inlineStr"/>
      <c r="R45" s="5" t="inlineStr"/>
      <c r="S45" s="5" t="inlineStr"/>
      <c r="T45" s="5" t="inlineStr"/>
      <c r="U45" s="5" t="inlineStr"/>
      <c r="V45" s="5" t="inlineStr">
        <is>
          <t>This work describes the design of a novel financial multiplex network composed of three layers obtained by applying the MST-based cross-correlation network, using the data from 465 companies listed on the US market. The study employs a combined approach of complex multiplex networks, to examine the statistical properties of asset interdependence within the financial market. In addition, it performs an extensive analysis of both the similarities and the differences between this financial multiplex network, its individual layers, and the commonly studied stock return network. The results highlight the importance of the financial multiplex network, demonstrating that its network layers offer unique information within the multiplex dataset. Empirical analysis reveals dissimilarities between the financial multiplex network and the stock return monoplex network, indicating that the two networks provide distinct insights into the structure of the stock market. Furthermore, the financial multiplex network outperforms the singleplex network of stock returns because it has a structure that better determines the future Sharpe ratio. These findings add substantially to our understanding of the financial market system in which multiple types of relationship among financial assets play an important role.</t>
        </is>
      </c>
      <c r="W45" s="5" t="inlineStr">
        <is>
          <t>[Siudak, Dariusz] Lodz Univ Technol, Inst Management, Div Econ &amp; Finance, Lodz, Poland</t>
        </is>
      </c>
      <c r="X45" s="5" t="inlineStr"/>
      <c r="Y45" s="5" t="inlineStr">
        <is>
          <t>Siudak, D (corresponding author), Lodz Univ Technol, Inst Management, Div Econ &amp; Finance, Lodz, Poland.</t>
        </is>
      </c>
      <c r="Z45" s="5" t="inlineStr">
        <is>
          <t>dariusz.siudak@p.lodz.pl</t>
        </is>
      </c>
      <c r="AA45" s="5" t="inlineStr"/>
      <c r="AB45" s="5" t="inlineStr"/>
      <c r="AC45" s="5" t="inlineStr"/>
      <c r="AD45" s="5" t="inlineStr"/>
      <c r="AE45" s="5" t="inlineStr"/>
      <c r="AF45" s="5" t="inlineStr"/>
      <c r="AG45" s="5" t="n">
        <v>111</v>
      </c>
      <c r="AH45" s="5" t="n">
        <v>2</v>
      </c>
      <c r="AI45" s="5" t="n">
        <v>2</v>
      </c>
      <c r="AJ45" s="5" t="inlineStr"/>
      <c r="AK45" s="5" t="inlineStr"/>
      <c r="AL45" s="5" t="inlineStr"/>
      <c r="AM45" s="5" t="inlineStr"/>
      <c r="AN45" s="5" t="inlineStr"/>
      <c r="AO45" s="5" t="inlineStr"/>
      <c r="AP45" s="5" t="inlineStr"/>
      <c r="AQ45" s="5" t="inlineStr"/>
      <c r="AR45" s="5" t="inlineStr"/>
      <c r="AS45" s="5" t="inlineStr"/>
      <c r="AT45" s="5" t="inlineStr">
        <is>
          <t>APR 18</t>
        </is>
      </c>
      <c r="AU45" s="5" t="n">
        <v>2025</v>
      </c>
      <c r="AV45" s="5" t="n">
        <v>20</v>
      </c>
      <c r="AW45" s="5" t="n">
        <v>4</v>
      </c>
      <c r="AX45" s="5" t="inlineStr"/>
      <c r="AY45" s="5" t="inlineStr"/>
      <c r="AZ45" s="5" t="inlineStr"/>
      <c r="BA45" s="5" t="inlineStr"/>
      <c r="BB45" s="5" t="inlineStr"/>
      <c r="BC45" s="5" t="inlineStr"/>
      <c r="BD45" s="5" t="inlineStr">
        <is>
          <t>e0320799</t>
        </is>
      </c>
      <c r="BE45" s="5" t="inlineStr">
        <is>
          <t>10.1371/journal.pone.0320799</t>
        </is>
      </c>
      <c r="BF45" s="5" t="n">
        <v>0</v>
      </c>
      <c r="BG45" s="5" t="inlineStr"/>
      <c r="BH45" s="5" t="inlineStr"/>
      <c r="BI45" s="5" t="inlineStr"/>
      <c r="BJ45" s="5" t="inlineStr"/>
      <c r="BK45" s="5" t="inlineStr"/>
      <c r="BL45" s="5" t="inlineStr"/>
      <c r="BM45" s="5" t="inlineStr"/>
      <c r="BN45" s="5" t="inlineStr"/>
      <c r="BO45" s="5" t="inlineStr"/>
      <c r="BP45" s="5" t="inlineStr"/>
      <c r="BQ45" s="5" t="inlineStr"/>
      <c r="BR45" s="5" t="inlineStr">
        <is>
          <t>2026-05-29</t>
        </is>
      </c>
      <c r="BS45" s="5" t="inlineStr">
        <is>
          <t>WOS:001489628200016</t>
        </is>
      </c>
      <c r="BT45" s="5" t="n">
        <v>0</v>
      </c>
      <c r="BU45">
        <f>COUNTIF('오픈소스&amp;직접수집'!F:F,'wos(corecollection)_260528'!BE45)</f>
        <v/>
      </c>
      <c r="BV45">
        <f>COUNTIF('오픈소스&amp;직접수집'!A:A,'wos(corecollection)_260528'!I45)</f>
        <v/>
      </c>
      <c r="BW45">
        <f>SUM(BU45:BV45)</f>
        <v/>
      </c>
    </row>
    <row r="46">
      <c r="A46" s="5" t="inlineStr">
        <is>
          <t>cyram 인용</t>
        </is>
      </c>
      <c r="B46" s="5" t="inlineStr">
        <is>
          <t>Ahn, SH; Jeong, HW; Yang, SG; Jung, US; Choi, ML; Kim, HS</t>
        </is>
      </c>
      <c r="C46" s="5" t="inlineStr"/>
      <c r="D46" s="5" t="inlineStr"/>
      <c r="E46" s="5" t="inlineStr"/>
      <c r="F46" s="5" t="inlineStr">
        <is>
          <t>Ahn, Shin Hye; Jeong, Hye Won; Yang, Seong Gyeong; Jung, Ue Seok; Choi, Myoung Lee; Kim, Heui Seon</t>
        </is>
      </c>
      <c r="G46" s="5" t="inlineStr"/>
      <c r="H46" s="5" t="inlineStr"/>
      <c r="I46" s="5" t="inlineStr">
        <is>
          <t>Temporal Exploration of New Nurses' Field Adaptation Using Text Network Analysis</t>
        </is>
      </c>
      <c r="J46" s="5" t="inlineStr">
        <is>
          <t>JOURNAL OF KOREAN ACADEMY OF NURSING</t>
        </is>
      </c>
      <c r="K46" s="5" t="inlineStr"/>
      <c r="L46" s="5" t="inlineStr"/>
      <c r="M46" s="5" t="inlineStr"/>
      <c r="N46" s="5" t="inlineStr">
        <is>
          <t>Article</t>
        </is>
      </c>
      <c r="O46" s="5" t="inlineStr"/>
      <c r="P46" s="5" t="inlineStr"/>
      <c r="Q46" s="5" t="inlineStr"/>
      <c r="R46" s="5" t="inlineStr"/>
      <c r="S46" s="5" t="inlineStr"/>
      <c r="T46" s="5" t="inlineStr"/>
      <c r="U46" s="5" t="inlineStr"/>
      <c r="V46" s="5" t="inlineStr">
        <is>
          <t>Purpose: This study aimed to analyze the experiences of new nurses during their first year of hospital employment to gather data for the development of an evidence-based new nurse residency program focused on adaptability. Methods: This study was conducted at a tertiary hospital in Korea between March and August 2021 with 80 new nurses who wrote in critical reflective journals during their first year of work. NetMiner 4.5.0 was used to conduct a text network analysis of the critical reflective journals to uncover core keywords and topics across three periods. Results: In the journals, over time, degree centrality emerged as study and patient understanding for 1 to 3 months, insufficient and stress for 4 to 6 months, and handover and preparation for 7 to 12 months. Major sub-themes at 1 to 3 months were: rounds, intravenous-cannulation, medical device, and patient understanding; at 4 to 6 months they were admission, discharge, oxygen therapy, and disease; and at 7 to 12 months they were burden, independence, and solution. Conclusion: These results provide valuable insights into the challenges and experiences encountered by new nurses during different stages of their field adaptation process. This information may highlight the best nurse leadership methods for improving institutional education and supporting new nurses' transitions to the hospital work environment.</t>
        </is>
      </c>
      <c r="W46" s="5" t="inlineStr">
        <is>
          <t>[Ahn, Shin Hye; Jeong, Hye Won; Yang, Seong Gyeong; Jung, Ue Seok; Choi, Myoung Lee; Kim, Heui Seon] Chonnam Natl Univ Hosp, Dept Nursing, Gwangju, South Korea; [Jeong, Hye Won] Chonnam Natl Univ, Coll Nursing, Gwangju, South Korea; [Jeong, Hye Won] Korea Natl Univ Transportat, Dept Nursing, 61 Daehak ro,Yonggang ri,Jeungpyeong eup, Jeungpyeong 27909, South Korea</t>
        </is>
      </c>
      <c r="X46" s="5" t="inlineStr"/>
      <c r="Y46" s="5" t="inlineStr">
        <is>
          <t>Jeong, HW (corresponding author), Korea Natl Univ Transportat, Dept Nursing, 61 Daehak ro,Yonggang ri,Jeungpyeong eup, Jeungpyeong 27909, South Korea.</t>
        </is>
      </c>
      <c r="Z46" s="5" t="inlineStr">
        <is>
          <t>hyewon1129@ut.ac.kr</t>
        </is>
      </c>
      <c r="AA46" s="5" t="inlineStr"/>
      <c r="AB46" s="5" t="inlineStr"/>
      <c r="AC46" s="5" t="inlineStr"/>
      <c r="AD46" s="5" t="inlineStr"/>
      <c r="AE46" s="5" t="inlineStr"/>
      <c r="AF46" s="5" t="inlineStr"/>
      <c r="AG46" s="5" t="n">
        <v>41</v>
      </c>
      <c r="AH46" s="5" t="n">
        <v>4</v>
      </c>
      <c r="AI46" s="5" t="n">
        <v>5</v>
      </c>
      <c r="AJ46" s="5" t="inlineStr"/>
      <c r="AK46" s="5" t="inlineStr"/>
      <c r="AL46" s="5" t="inlineStr"/>
      <c r="AM46" s="5" t="inlineStr"/>
      <c r="AN46" s="5" t="inlineStr"/>
      <c r="AO46" s="5" t="inlineStr"/>
      <c r="AP46" s="5" t="inlineStr"/>
      <c r="AQ46" s="5" t="inlineStr"/>
      <c r="AR46" s="5" t="inlineStr"/>
      <c r="AS46" s="5" t="inlineStr"/>
      <c r="AT46" s="5" t="inlineStr">
        <is>
          <t>JUN</t>
        </is>
      </c>
      <c r="AU46" s="5" t="n">
        <v>2024</v>
      </c>
      <c r="AV46" s="5" t="n">
        <v>54</v>
      </c>
      <c r="AW46" s="5" t="n">
        <v>3</v>
      </c>
      <c r="AX46" s="5" t="inlineStr"/>
      <c r="AY46" s="5" t="inlineStr"/>
      <c r="AZ46" s="5" t="inlineStr"/>
      <c r="BA46" s="5" t="inlineStr"/>
      <c r="BB46" s="5" t="n">
        <v>358</v>
      </c>
      <c r="BC46" s="5" t="n">
        <v>371</v>
      </c>
      <c r="BD46" s="5" t="inlineStr"/>
      <c r="BE46" s="5" t="inlineStr">
        <is>
          <t>10.4040/jkan.24034</t>
        </is>
      </c>
      <c r="BF46" s="5" t="n">
        <v>0</v>
      </c>
      <c r="BG46" s="5" t="inlineStr"/>
      <c r="BH46" s="5" t="inlineStr"/>
      <c r="BI46" s="5" t="inlineStr"/>
      <c r="BJ46" s="5" t="inlineStr"/>
      <c r="BK46" s="5" t="inlineStr"/>
      <c r="BL46" s="5" t="inlineStr"/>
      <c r="BM46" s="5" t="inlineStr"/>
      <c r="BN46" s="5" t="inlineStr"/>
      <c r="BO46" s="5" t="inlineStr"/>
      <c r="BP46" s="5" t="inlineStr"/>
      <c r="BQ46" s="5" t="inlineStr"/>
      <c r="BR46" s="5" t="inlineStr">
        <is>
          <t>2026-05-29</t>
        </is>
      </c>
      <c r="BS46" s="5" t="inlineStr">
        <is>
          <t>WOS:001314085800007</t>
        </is>
      </c>
      <c r="BT46" s="5" t="n">
        <v>0</v>
      </c>
      <c r="BU46">
        <f>COUNTIF('오픈소스&amp;직접수집'!F:F,'wos(corecollection)_260528'!BE46)</f>
        <v/>
      </c>
      <c r="BV46">
        <f>COUNTIF('오픈소스&amp;직접수집'!A:A,'wos(corecollection)_260528'!I46)</f>
        <v/>
      </c>
      <c r="BW46">
        <f>SUM(BU46:BV46)</f>
        <v/>
      </c>
    </row>
    <row r="47">
      <c r="A47" s="5" t="inlineStr">
        <is>
          <t>cyram 인용</t>
        </is>
      </c>
      <c r="B47" s="5" t="inlineStr">
        <is>
          <t>Kim, J</t>
        </is>
      </c>
      <c r="C47" s="5" t="inlineStr"/>
      <c r="D47" s="5" t="inlineStr"/>
      <c r="E47" s="5" t="inlineStr"/>
      <c r="F47" s="5" t="inlineStr">
        <is>
          <t>Kim, Jongwon</t>
        </is>
      </c>
      <c r="G47" s="5" t="inlineStr"/>
      <c r="H47" s="5" t="inlineStr"/>
      <c r="I47" s="5" t="inlineStr">
        <is>
          <t>Analysis of football research trends using text network analysis</t>
        </is>
      </c>
      <c r="J47" s="5" t="inlineStr">
        <is>
          <t>PLOS ONE</t>
        </is>
      </c>
      <c r="K47" s="5" t="inlineStr"/>
      <c r="L47" s="5" t="inlineStr"/>
      <c r="M47" s="5" t="inlineStr"/>
      <c r="N47" s="5" t="inlineStr">
        <is>
          <t>Article</t>
        </is>
      </c>
      <c r="O47" s="5" t="inlineStr"/>
      <c r="P47" s="5" t="inlineStr"/>
      <c r="Q47" s="5" t="inlineStr"/>
      <c r="R47" s="5" t="inlineStr"/>
      <c r="S47" s="5" t="inlineStr"/>
      <c r="T47" s="5" t="inlineStr"/>
      <c r="U47" s="5" t="inlineStr"/>
      <c r="V47" s="5" t="inlineStr">
        <is>
          <t>This study was aimed to identify football research trends in various periods. A total of 30,946 football papers were collected from a representative academic database and search engine, the 'Web of Science'. Keyword refinement included filtering nouns, establishing synonyms and thesaurus, and excluding conjunctions, and the Cyram's Netminer 4.0 software was used for network analysis. A centrality analysis was conducted by extracting the words corresponding to the top 2% of the main research topics to obtain the degree and eigenvector centralities. The most frequently mentioned research keywords were injury, performance, and club. Keyword performance showed the highest degree centrality (0.294) and keyword world and cup showed the highest eigenvector centrality (0.710). The keyword with the highest eigenvector degree changed from injury in the 1990s and world in the 2000s to cup since the 2010s. Although various studies on football injuries have been conducted, research on the sport itself has recently been conducted. This study provides fundamental information on football trends from research published over the past 30 years.</t>
        </is>
      </c>
      <c r="W47" s="5" t="inlineStr">
        <is>
          <t>[Kim, Jongwon] Middlesex Univ, London Sport Inst, Sch Sci &amp; Technol, London, England</t>
        </is>
      </c>
      <c r="X47" s="5" t="inlineStr"/>
      <c r="Y47" s="5" t="inlineStr">
        <is>
          <t>Kim, J (corresponding author), Middlesex Univ, London Sport Inst, Sch Sci &amp; Technol, London, England.</t>
        </is>
      </c>
      <c r="Z47" s="5" t="inlineStr">
        <is>
          <t>jongwonkim1229@gmail.com</t>
        </is>
      </c>
      <c r="AA47" s="5" t="inlineStr"/>
      <c r="AB47" s="5" t="inlineStr"/>
      <c r="AC47" s="5" t="inlineStr"/>
      <c r="AD47" s="5" t="inlineStr"/>
      <c r="AE47" s="5" t="inlineStr"/>
      <c r="AF47" s="5" t="inlineStr"/>
      <c r="AG47" s="5" t="n">
        <v>46</v>
      </c>
      <c r="AH47" s="5" t="n">
        <v>1</v>
      </c>
      <c r="AI47" s="5" t="n">
        <v>1</v>
      </c>
      <c r="AJ47" s="5" t="inlineStr"/>
      <c r="AK47" s="5" t="inlineStr"/>
      <c r="AL47" s="5" t="inlineStr"/>
      <c r="AM47" s="5" t="inlineStr"/>
      <c r="AN47" s="5" t="inlineStr"/>
      <c r="AO47" s="5" t="inlineStr"/>
      <c r="AP47" s="5" t="inlineStr"/>
      <c r="AQ47" s="5" t="inlineStr"/>
      <c r="AR47" s="5" t="inlineStr"/>
      <c r="AS47" s="5" t="inlineStr"/>
      <c r="AT47" s="5" t="inlineStr">
        <is>
          <t>APR 18</t>
        </is>
      </c>
      <c r="AU47" s="5" t="n">
        <v>2024</v>
      </c>
      <c r="AV47" s="5" t="n">
        <v>19</v>
      </c>
      <c r="AW47" s="5" t="n">
        <v>4</v>
      </c>
      <c r="AX47" s="5" t="inlineStr"/>
      <c r="AY47" s="5" t="inlineStr"/>
      <c r="AZ47" s="5" t="inlineStr"/>
      <c r="BA47" s="5" t="inlineStr"/>
      <c r="BB47" s="5" t="inlineStr"/>
      <c r="BC47" s="5" t="inlineStr"/>
      <c r="BD47" s="5" t="inlineStr">
        <is>
          <t>e0299782</t>
        </is>
      </c>
      <c r="BE47" s="5" t="inlineStr">
        <is>
          <t>10.1371/journal.pone.0299782</t>
        </is>
      </c>
      <c r="BF47" s="5" t="n">
        <v>0</v>
      </c>
      <c r="BG47" s="5" t="inlineStr"/>
      <c r="BH47" s="5" t="inlineStr"/>
      <c r="BI47" s="5" t="inlineStr"/>
      <c r="BJ47" s="5" t="inlineStr"/>
      <c r="BK47" s="5" t="inlineStr"/>
      <c r="BL47" s="5" t="inlineStr"/>
      <c r="BM47" s="5" t="inlineStr"/>
      <c r="BN47" s="5" t="inlineStr"/>
      <c r="BO47" s="5" t="inlineStr"/>
      <c r="BP47" s="5" t="inlineStr"/>
      <c r="BQ47" s="5" t="inlineStr"/>
      <c r="BR47" s="5" t="inlineStr">
        <is>
          <t>2026-05-29</t>
        </is>
      </c>
      <c r="BS47" s="5" t="inlineStr">
        <is>
          <t>WOS:001207320100096</t>
        </is>
      </c>
      <c r="BT47" s="5" t="n">
        <v>0</v>
      </c>
      <c r="BU47">
        <f>COUNTIF('오픈소스&amp;직접수집'!F:F,'wos(corecollection)_260528'!BE47)</f>
        <v/>
      </c>
      <c r="BV47">
        <f>COUNTIF('오픈소스&amp;직접수집'!A:A,'wos(corecollection)_260528'!I47)</f>
        <v/>
      </c>
      <c r="BW47">
        <f>SUM(BU47:BV47)</f>
        <v/>
      </c>
    </row>
    <row r="48">
      <c r="A48" s="5" t="inlineStr">
        <is>
          <t>cyram 인용</t>
        </is>
      </c>
      <c r="B48" s="5" t="inlineStr">
        <is>
          <t>Chang, SM</t>
        </is>
      </c>
      <c r="C48" s="5" t="inlineStr"/>
      <c r="D48" s="5" t="inlineStr"/>
      <c r="E48" s="5" t="inlineStr"/>
      <c r="F48" s="5" t="inlineStr">
        <is>
          <t>Chang, Saemi</t>
        </is>
      </c>
      <c r="G48" s="5" t="inlineStr"/>
      <c r="H48" s="5" t="inlineStr"/>
      <c r="I48" s="5" t="inlineStr">
        <is>
          <t>Interorganizational networks in dynamics of disaster: Comprehensive approach to network effectiveness</t>
        </is>
      </c>
      <c r="J48" s="5" t="inlineStr">
        <is>
          <t>JOURNAL OF CONTINGENCIES AND CRISIS MANAGEMENT</t>
        </is>
      </c>
      <c r="K48" s="5" t="inlineStr"/>
      <c r="L48" s="5" t="inlineStr"/>
      <c r="M48" s="5" t="inlineStr"/>
      <c r="N48" s="5" t="inlineStr">
        <is>
          <t>Article</t>
        </is>
      </c>
      <c r="O48" s="5" t="inlineStr"/>
      <c r="P48" s="5" t="inlineStr"/>
      <c r="Q48" s="5" t="inlineStr"/>
      <c r="R48" s="5" t="inlineStr"/>
      <c r="S48" s="5" t="inlineStr"/>
      <c r="T48" s="5" t="inlineStr"/>
      <c r="U48" s="5" t="inlineStr"/>
      <c r="V48" s="5" t="inlineStr">
        <is>
          <t>Governments grapple with the challenges of uncertainty and complexity in disasters due to interconnected actors. This research explores how government organizations can effectively operate during disasters. Two aspects of network effectiveness-structural and procedural approaches-are considered. The structural approach emphasizes the network stability, while the procedural approach focuses on the process of network evolution. Analysing and comparing response networks from two earthquakes in Korea, a crucial environmental change-government reorganization-between them was identified. This allowed to assess how environmental changes impact network effectiveness. The findings suggest that effective disaster management requires complementing centralized authority with actual power distribution, empowering subnetwork groups as centres of common knowledge base, and emphasizing coordination among organizations with diverse expertise.</t>
        </is>
      </c>
      <c r="W48" s="5" t="inlineStr">
        <is>
          <t>[Chang, Saemi] Korea Univ, Grad Sch Energy &amp; Environm, Seoul 02841, South Korea; Korea Univ, Grad Sch Energy &amp; Environm, KU KIST Green Sch, KU R&amp;D Ctr, 145 Anam Ro, Seoul 02841, South Korea</t>
        </is>
      </c>
      <c r="X48" s="5" t="inlineStr"/>
      <c r="Y48" s="5" t="inlineStr">
        <is>
          <t>Chang, SM (corresponding author), Korea Univ, Grad Sch Energy &amp; Environm, Seoul 02841, South Korea.</t>
        </is>
      </c>
      <c r="Z48" s="5" t="inlineStr">
        <is>
          <t>saemi_chang@korea.ac.kr</t>
        </is>
      </c>
      <c r="AA48" s="5" t="inlineStr"/>
      <c r="AB48" s="5" t="inlineStr"/>
      <c r="AC48" s="5" t="inlineStr"/>
      <c r="AD48" s="5" t="inlineStr"/>
      <c r="AE48" s="5" t="inlineStr"/>
      <c r="AF48" s="5" t="inlineStr"/>
      <c r="AG48" s="5" t="n">
        <v>34</v>
      </c>
      <c r="AH48" s="5" t="n">
        <v>3</v>
      </c>
      <c r="AI48" s="5" t="n">
        <v>3</v>
      </c>
      <c r="AJ48" s="5" t="inlineStr"/>
      <c r="AK48" s="5" t="inlineStr"/>
      <c r="AL48" s="5" t="inlineStr"/>
      <c r="AM48" s="5" t="inlineStr"/>
      <c r="AN48" s="5" t="inlineStr"/>
      <c r="AO48" s="5" t="inlineStr"/>
      <c r="AP48" s="5" t="inlineStr"/>
      <c r="AQ48" s="5" t="inlineStr"/>
      <c r="AR48" s="5" t="inlineStr"/>
      <c r="AS48" s="5" t="inlineStr"/>
      <c r="AT48" s="5" t="inlineStr">
        <is>
          <t>FEB 11</t>
        </is>
      </c>
      <c r="AU48" s="5" t="n">
        <v>2024</v>
      </c>
      <c r="AV48" s="5" t="n">
        <v>32</v>
      </c>
      <c r="AW48" s="5" t="n">
        <v>1</v>
      </c>
      <c r="AX48" s="5" t="inlineStr"/>
      <c r="AY48" s="5" t="inlineStr"/>
      <c r="AZ48" s="5" t="inlineStr"/>
      <c r="BA48" s="5" t="inlineStr"/>
      <c r="BB48" s="5" t="inlineStr"/>
      <c r="BC48" s="5" t="inlineStr"/>
      <c r="BD48" s="5" t="inlineStr">
        <is>
          <t>e12544</t>
        </is>
      </c>
      <c r="BE48" s="5" t="inlineStr">
        <is>
          <t>10.1111/1468-5973.12544</t>
        </is>
      </c>
      <c r="BF48" s="5" t="n">
        <v>0</v>
      </c>
      <c r="BG48" s="5" t="inlineStr"/>
      <c r="BH48" s="5" t="inlineStr"/>
      <c r="BI48" s="5" t="inlineStr"/>
      <c r="BJ48" s="5" t="inlineStr"/>
      <c r="BK48" s="5" t="inlineStr"/>
      <c r="BL48" s="5" t="inlineStr"/>
      <c r="BM48" s="5" t="inlineStr"/>
      <c r="BN48" s="5" t="inlineStr"/>
      <c r="BO48" s="5" t="inlineStr"/>
      <c r="BP48" s="5" t="inlineStr"/>
      <c r="BQ48" s="5" t="inlineStr"/>
      <c r="BR48" s="5" t="inlineStr">
        <is>
          <t>2026-05-29</t>
        </is>
      </c>
      <c r="BS48" s="5" t="inlineStr">
        <is>
          <t>WOS:001160343000001</t>
        </is>
      </c>
      <c r="BT48" s="5" t="n">
        <v>0</v>
      </c>
      <c r="BU48">
        <f>COUNTIF('오픈소스&amp;직접수집'!F:F,'wos(corecollection)_260528'!BE48)</f>
        <v/>
      </c>
      <c r="BV48">
        <f>COUNTIF('오픈소스&amp;직접수집'!A:A,'wos(corecollection)_260528'!I48)</f>
        <v/>
      </c>
      <c r="BW48">
        <f>SUM(BU48:BV48)</f>
        <v/>
      </c>
    </row>
    <row r="49">
      <c r="A49" s="5" t="inlineStr">
        <is>
          <t>cyram 인용</t>
        </is>
      </c>
      <c r="B49" s="5" t="inlineStr">
        <is>
          <t>Lee, MS; Lee, S</t>
        </is>
      </c>
      <c r="C49" s="5" t="inlineStr"/>
      <c r="D49" s="5" t="inlineStr"/>
      <c r="E49" s="5" t="inlineStr"/>
      <c r="F49" s="5" t="inlineStr">
        <is>
          <t>Lee, Myeong Seon; Lee, Seonah</t>
        </is>
      </c>
      <c r="G49" s="5" t="inlineStr"/>
      <c r="H49" s="5" t="inlineStr"/>
      <c r="I49" s="5" t="inlineStr">
        <is>
          <t>Exploring the Knowledge Structures of Korean and International Nursing Research on Premature Infants Using Text Network Analysis</t>
        </is>
      </c>
      <c r="J49" s="5" t="inlineStr">
        <is>
          <t>CIN-COMPUTERS INFORMATICS NURSING</t>
        </is>
      </c>
      <c r="K49" s="5" t="inlineStr"/>
      <c r="L49" s="5" t="inlineStr"/>
      <c r="M49" s="5" t="inlineStr"/>
      <c r="N49" s="5" t="inlineStr">
        <is>
          <t>Article</t>
        </is>
      </c>
      <c r="O49" s="5" t="inlineStr"/>
      <c r="P49" s="5" t="inlineStr"/>
      <c r="Q49" s="5" t="inlineStr"/>
      <c r="R49" s="5" t="inlineStr"/>
      <c r="S49" s="5" t="inlineStr"/>
      <c r="T49" s="5" t="inlineStr"/>
      <c r="U49" s="5" t="inlineStr"/>
      <c r="V49" s="5" t="inlineStr">
        <is>
          <t>This study aimed to identify the knowledge structures of Korean and international nursing studies on premature infants using text network analysis, which represents a text as a network graph that describes how keywords are linked. This network graph refers to a knowledge structure. International and Korean journal databases were searched to extract nursing studies regarding premature infants published in academic journals from 1998 to 2020. Abstracts from the selected studies were analyzed using the following four steps: word extraction and refinement, keyword extraction, co-occurrence matrix generation, and text network visualization. The results demonstrated that 182 Korean and 2502 international studies were published. The common keywords of Korean and international studies were kangaroo mother care, stress, and child. The keywords of the international studies had more branches linking to other keywords than those of the Korean studies. Thus, the knowledge structure of international studies included diverse concepts. These findings will serve as important guidance for future research worldwide. Furthermore, studies to develop a more comprehensive knowledge structure of international research on premature infants are needed. The knowledge structure of Korean studies mainly included concepts related to mothers. Korean studies regarding hospitalized premature infants and communication with parents need to be conducted.</t>
        </is>
      </c>
      <c r="W49" s="5" t="inlineStr">
        <is>
          <t>[Lee, Myeong Seon] Nambu Univ, Dept Nursing, Gwangju, South Korea; [Lee, Seonah] Chonnam Natl Univ, Coll Nursing, 160 Baekseo Ro, Gwangju 61469, South Korea</t>
        </is>
      </c>
      <c r="X49" s="5" t="inlineStr"/>
      <c r="Y49" s="5" t="inlineStr">
        <is>
          <t>Lee, S (corresponding author), Chonnam Natl Univ, Coll Nursing, 160 Baekseo Ro, Gwangju 61469, South Korea.</t>
        </is>
      </c>
      <c r="Z49" s="5" t="inlineStr">
        <is>
          <t>kjagape@nambu.ac.kr; ah7909@hotmail.com</t>
        </is>
      </c>
      <c r="AA49" s="5" t="inlineStr"/>
      <c r="AB49" s="5" t="inlineStr"/>
      <c r="AC49" s="5" t="inlineStr"/>
      <c r="AD49" s="5" t="inlineStr"/>
      <c r="AE49" s="5" t="inlineStr"/>
      <c r="AF49" s="5" t="inlineStr"/>
      <c r="AG49" s="5" t="n">
        <v>16</v>
      </c>
      <c r="AH49" s="5" t="n">
        <v>2</v>
      </c>
      <c r="AI49" s="5" t="n">
        <v>2</v>
      </c>
      <c r="AJ49" s="5" t="inlineStr"/>
      <c r="AK49" s="5" t="inlineStr"/>
      <c r="AL49" s="5" t="inlineStr"/>
      <c r="AM49" s="5" t="inlineStr"/>
      <c r="AN49" s="5" t="inlineStr"/>
      <c r="AO49" s="5" t="inlineStr"/>
      <c r="AP49" s="5" t="inlineStr"/>
      <c r="AQ49" s="5" t="inlineStr"/>
      <c r="AR49" s="5" t="inlineStr"/>
      <c r="AS49" s="5" t="inlineStr"/>
      <c r="AT49" s="5" t="inlineStr">
        <is>
          <t>FEB</t>
        </is>
      </c>
      <c r="AU49" s="5" t="n">
        <v>2024</v>
      </c>
      <c r="AV49" s="5" t="n">
        <v>42</v>
      </c>
      <c r="AW49" s="5" t="n">
        <v>2</v>
      </c>
      <c r="AX49" s="5" t="inlineStr"/>
      <c r="AY49" s="5" t="inlineStr"/>
      <c r="AZ49" s="5" t="inlineStr"/>
      <c r="BA49" s="5" t="inlineStr"/>
      <c r="BB49" s="5" t="n">
        <v>109</v>
      </c>
      <c r="BC49" s="5" t="n">
        <v>117</v>
      </c>
      <c r="BD49" s="5" t="inlineStr"/>
      <c r="BE49" s="5" t="inlineStr">
        <is>
          <t>10.1097/CIN.0000000000001032</t>
        </is>
      </c>
      <c r="BF49" s="5" t="n">
        <v>0</v>
      </c>
      <c r="BG49" s="5" t="inlineStr"/>
      <c r="BH49" s="5" t="inlineStr"/>
      <c r="BI49" s="5" t="inlineStr"/>
      <c r="BJ49" s="5" t="inlineStr"/>
      <c r="BK49" s="5" t="inlineStr"/>
      <c r="BL49" s="5" t="inlineStr"/>
      <c r="BM49" s="5" t="inlineStr"/>
      <c r="BN49" s="5" t="inlineStr"/>
      <c r="BO49" s="5" t="inlineStr"/>
      <c r="BP49" s="5" t="inlineStr"/>
      <c r="BQ49" s="5" t="inlineStr"/>
      <c r="BR49" s="5" t="inlineStr">
        <is>
          <t>2026-05-29</t>
        </is>
      </c>
      <c r="BS49" s="5" t="inlineStr">
        <is>
          <t>WOS:001155705500004</t>
        </is>
      </c>
      <c r="BT49" s="5" t="n">
        <v>0</v>
      </c>
      <c r="BU49">
        <f>COUNTIF('오픈소스&amp;직접수집'!F:F,'wos(corecollection)_260528'!BE49)</f>
        <v/>
      </c>
      <c r="BV49">
        <f>COUNTIF('오픈소스&amp;직접수집'!A:A,'wos(corecollection)_260528'!I49)</f>
        <v/>
      </c>
      <c r="BW49">
        <f>SUM(BU49:BV49)</f>
        <v/>
      </c>
    </row>
    <row r="50">
      <c r="A50" s="5" t="inlineStr">
        <is>
          <t>cyram 인용</t>
        </is>
      </c>
      <c r="B50" s="5" t="inlineStr">
        <is>
          <t>Jin, X; Shen, GF; Luo, LZ; Zhou, X</t>
        </is>
      </c>
      <c r="C50" s="5" t="inlineStr"/>
      <c r="D50" s="5" t="inlineStr"/>
      <c r="E50" s="5" t="inlineStr"/>
      <c r="F50" s="5" t="inlineStr">
        <is>
          <t>Jin, Xin; Shen, Geoffrey; Luo, Lizi; Zhou, Xin</t>
        </is>
      </c>
      <c r="G50" s="5" t="inlineStr"/>
      <c r="H50" s="5" t="inlineStr"/>
      <c r="I50" s="5" t="inlineStr">
        <is>
          <t>Influence of policies on stakeholders to drive the success of modular integrated construction in Hong Kong</t>
        </is>
      </c>
      <c r="J50" s="5" t="inlineStr">
        <is>
          <t>ENGINEERING CONSTRUCTION AND ARCHITECTURAL MANAGEMENT</t>
        </is>
      </c>
      <c r="K50" s="5" t="inlineStr"/>
      <c r="L50" s="5" t="inlineStr"/>
      <c r="M50" s="5" t="inlineStr"/>
      <c r="N50" s="5" t="inlineStr">
        <is>
          <t>Article</t>
        </is>
      </c>
      <c r="O50" s="5" t="inlineStr"/>
      <c r="P50" s="5" t="inlineStr"/>
      <c r="Q50" s="5" t="inlineStr"/>
      <c r="R50" s="5" t="inlineStr"/>
      <c r="S50" s="5" t="inlineStr"/>
      <c r="T50" s="5" t="inlineStr"/>
      <c r="U50" s="5" t="inlineStr"/>
      <c r="V50" s="5" t="inlineStr">
        <is>
          <t>PurposeModular integrated construction (MiC) is an innovative and effective manufacturing-based method of construction that has become the mainstream development direction of projects in Hong Kong (HK). However, large-scale promotion of MiC practice still needs efforts. A pressing concern is that the impact of relevant policies on stakeholders during project implementation is rarely explored in depth. Therefore, to fill the research gap, this study aims to investigate the influence of policies on stakeholders to drive the successful implementation of MiC in HK.Design/methodology/approachThis study uses a strategy of multiple methods. First, a comprehensively literature review and survey were adopted to identify critical policies and stakeholders. Second, semi-structured interviews with 28 experts were conducted to quantify their relationships. Third, three policy-stakeholder networks at initiation, planning and design and construction stages were established using social network analysis.FindingsEnvironmental protection policy, COVID-19 pandemic policy and environmental protection policy and quality acceptance standard for project completion are found to be the most important policies of the three stages, respectively. The HK government and developers are highlighted as prominent stakeholders influencing policy implementation at all three stages. The dynamics of the influence stakeholders receive from critical policies at different stages of MiC are discussed. Valuable recommendations are accordingly proposed to enhance the successful implementation of MiC projects from the perspective of various stakeholders.Originality/valueThis study contributes to the body of knowledge by considering the mediating influence of stakeholders during policy implementation in the MiC uptake, and is valuable in helping policymakers to deeply understand the influence of policies to further forward successful MiC implementation and practicality in HK.</t>
        </is>
      </c>
      <c r="W50" s="5" t="inlineStr">
        <is>
          <t>[Jin, Xin; Shen, Geoffrey; Zhou, Xin] Hong Kong Polytech Univ, Dept Bldg &amp; Real Estate, Kowloon, Hong Kong, Peoples R China; [Luo, Lizi] Wuhan Univ, Sch Econ &amp; Management, Wuhan, Peoples R China</t>
        </is>
      </c>
      <c r="X50" s="5" t="inlineStr"/>
      <c r="Y50" s="5" t="inlineStr">
        <is>
          <t>Luo, LZ (corresponding author), Wuhan Univ, Sch Econ &amp; Management, Wuhan, Peoples R China.</t>
        </is>
      </c>
      <c r="Z50" s="5" t="inlineStr">
        <is>
          <t>lizi.luo@whu.edu.cn</t>
        </is>
      </c>
      <c r="AA50" s="5" t="inlineStr"/>
      <c r="AB50" s="5" t="inlineStr"/>
      <c r="AC50" s="5" t="inlineStr"/>
      <c r="AD50" s="5" t="inlineStr"/>
      <c r="AE50" s="5" t="inlineStr"/>
      <c r="AF50" s="5" t="inlineStr"/>
      <c r="AG50" s="5" t="n">
        <v>98</v>
      </c>
      <c r="AH50" s="5" t="n">
        <v>8</v>
      </c>
      <c r="AI50" s="5" t="n">
        <v>8</v>
      </c>
      <c r="AJ50" s="5" t="inlineStr"/>
      <c r="AK50" s="5" t="inlineStr"/>
      <c r="AL50" s="5" t="inlineStr"/>
      <c r="AM50" s="5" t="inlineStr"/>
      <c r="AN50" s="5" t="inlineStr"/>
      <c r="AO50" s="5" t="inlineStr"/>
      <c r="AP50" s="5" t="inlineStr"/>
      <c r="AQ50" s="5" t="inlineStr"/>
      <c r="AR50" s="5" t="inlineStr"/>
      <c r="AS50" s="5" t="inlineStr"/>
      <c r="AT50" s="5" t="inlineStr">
        <is>
          <t>MAY 1</t>
        </is>
      </c>
      <c r="AU50" s="5" t="n">
        <v>2025</v>
      </c>
      <c r="AV50" s="5" t="n">
        <v>32</v>
      </c>
      <c r="AW50" s="5" t="n">
        <v>5</v>
      </c>
      <c r="AX50" s="5" t="inlineStr"/>
      <c r="AY50" s="5" t="inlineStr"/>
      <c r="AZ50" s="5" t="inlineStr"/>
      <c r="BA50" s="5" t="inlineStr"/>
      <c r="BB50" s="5" t="n">
        <v>2814</v>
      </c>
      <c r="BC50" s="5" t="n">
        <v>2843</v>
      </c>
      <c r="BD50" s="5" t="inlineStr"/>
      <c r="BE50" s="5" t="inlineStr">
        <is>
          <t>10.1108/ECAM-07-2023-0740</t>
        </is>
      </c>
      <c r="BF50" s="5" t="n">
        <v>0</v>
      </c>
      <c r="BG50" s="5" t="inlineStr"/>
      <c r="BH50" s="5" t="inlineStr">
        <is>
          <t>JAN 2024</t>
        </is>
      </c>
      <c r="BI50" s="5" t="inlineStr"/>
      <c r="BJ50" s="5" t="inlineStr"/>
      <c r="BK50" s="5" t="inlineStr"/>
      <c r="BL50" s="5" t="inlineStr"/>
      <c r="BM50" s="5" t="inlineStr"/>
      <c r="BN50" s="5" t="inlineStr"/>
      <c r="BO50" s="5" t="inlineStr"/>
      <c r="BP50" s="5" t="inlineStr"/>
      <c r="BQ50" s="5" t="inlineStr"/>
      <c r="BR50" s="5" t="inlineStr">
        <is>
          <t>2026-05-29</t>
        </is>
      </c>
      <c r="BS50" s="5" t="inlineStr">
        <is>
          <t>WOS:001146874600001</t>
        </is>
      </c>
      <c r="BT50" s="5" t="n">
        <v>0</v>
      </c>
      <c r="BU50">
        <f>COUNTIF('오픈소스&amp;직접수집'!F:F,'wos(corecollection)_260528'!BE50)</f>
        <v/>
      </c>
      <c r="BV50">
        <f>COUNTIF('오픈소스&amp;직접수집'!A:A,'wos(corecollection)_260528'!I50)</f>
        <v/>
      </c>
      <c r="BW50">
        <f>SUM(BU50:BV50)</f>
        <v/>
      </c>
    </row>
    <row r="51">
      <c r="A51" s="5" t="inlineStr">
        <is>
          <t>cyram 인용</t>
        </is>
      </c>
      <c r="B51" s="5" t="inlineStr">
        <is>
          <t>Ko, HYJ; Jeong, SH; Lee, EJ; Kim, HS</t>
        </is>
      </c>
      <c r="C51" s="5" t="inlineStr"/>
      <c r="D51" s="5" t="inlineStr"/>
      <c r="E51" s="5" t="inlineStr"/>
      <c r="F51" s="5" t="inlineStr">
        <is>
          <t>Ko, Hyunjung; Jeong, Seok Hee; Lee, Eun Jee; Kim, Hee Sun</t>
        </is>
      </c>
      <c r="G51" s="5" t="inlineStr"/>
      <c r="H51" s="5" t="inlineStr"/>
      <c r="I51" s="5" t="inlineStr">
        <is>
          <t>National Petition Analysis Related to Nursing: Text Network Analysis and Topic Modeling</t>
        </is>
      </c>
      <c r="J51" s="5" t="inlineStr">
        <is>
          <t>JOURNAL OF KOREAN ACADEMY OF NURSING</t>
        </is>
      </c>
      <c r="K51" s="5" t="inlineStr"/>
      <c r="L51" s="5" t="inlineStr"/>
      <c r="M51" s="5" t="inlineStr"/>
      <c r="N51" s="5" t="inlineStr">
        <is>
          <t>Article</t>
        </is>
      </c>
      <c r="O51" s="5" t="inlineStr"/>
      <c r="P51" s="5" t="inlineStr"/>
      <c r="Q51" s="5" t="inlineStr"/>
      <c r="R51" s="5" t="inlineStr"/>
      <c r="S51" s="5" t="inlineStr"/>
      <c r="T51" s="5" t="inlineStr"/>
      <c r="U51" s="5" t="inlineStr"/>
      <c r="V51" s="5" t="inlineStr">
        <is>
          <t>Purpose: This study aimed to identify the main keyword, network structure, and main topics of the national petition related to nursing in South Korea. Methods: Data were gathered from petitions related to the national petition in Korea Blue House related to the topic nursing or nurse from August 17, 2017, to May 9, 2022. A total of 5,154 petitions were searched, and 995 were selected for the final analysis. Text network analysis and topic modeling were analyzed using the Netminer 4.5.0 program. Results: Regarding network charac-teristics, a density of 0.03, an average degree of 144.483, and an average distance of 1.943 were found. Compared to results of degree centrality and betweenness centrality, keywords such as work environment, nursing university, license, and education appeared typically in the eigenvector centrality analysis. Topic modeling derived four topics: (1) Improving the working environment and dealing with nursing professionals, (2) requesting investigation and punishment related to medical accidents, (3) requiring clear role regula-tion and legislation of medical and nonmedical professions, and (4) demanding improvement of healthcare-related systems and ser-vices. Conclusion: This is the first study to analyze Korea's national petitions in the field of nursing. This study's results confirmed both the internal needs and external demands for nurses in South Korea. Policies and laws that reflect these results should be developed.</t>
        </is>
      </c>
      <c r="W51" s="5" t="inlineStr">
        <is>
          <t>[Ko, Hyunjung] Jeonbuk Natl Univ, Grad Sch, Dept Nursing, Jeonju, South Korea; [Jeong, Seok Hee; Lee, Eun Jee; Kim, Hee Sun] Jeonbuk Natl Univ, Coll Nursing, Res Inst Nursing Sci, Jeonju, South Korea; [Ko, Hyunjung] Jeonbuk Natl Univ Hosp, Dept Nursing, Jeonju, South Korea; [Jeong, Seok Hee] Jeonbuk Natl Univ, Coll Nursing, Res Inst Nursing Sci, 567 Baekje Daero, Jeonju 54896, South Korea</t>
        </is>
      </c>
      <c r="X51" s="5" t="inlineStr"/>
      <c r="Y51" s="5" t="inlineStr">
        <is>
          <t>Jeong, SH (corresponding author), Jeonbuk Natl Univ, Coll Nursing, Res Inst Nursing Sci, 567 Baekje Daero, Jeonju 54896, South Korea.</t>
        </is>
      </c>
      <c r="Z51" s="5" t="inlineStr">
        <is>
          <t>awesomeprof@jbnu.ac.kr</t>
        </is>
      </c>
      <c r="AA51" s="5" t="inlineStr"/>
      <c r="AB51" s="5" t="inlineStr"/>
      <c r="AC51" s="5" t="inlineStr"/>
      <c r="AD51" s="5" t="inlineStr"/>
      <c r="AE51" s="5" t="inlineStr"/>
      <c r="AF51" s="5" t="inlineStr"/>
      <c r="AG51" s="5" t="n">
        <v>50</v>
      </c>
      <c r="AH51" s="5" t="n">
        <v>1</v>
      </c>
      <c r="AI51" s="5" t="n">
        <v>1</v>
      </c>
      <c r="AJ51" s="5" t="inlineStr"/>
      <c r="AK51" s="5" t="inlineStr"/>
      <c r="AL51" s="5" t="inlineStr"/>
      <c r="AM51" s="5" t="inlineStr"/>
      <c r="AN51" s="5" t="inlineStr"/>
      <c r="AO51" s="5" t="inlineStr"/>
      <c r="AP51" s="5" t="inlineStr"/>
      <c r="AQ51" s="5" t="inlineStr"/>
      <c r="AR51" s="5" t="inlineStr"/>
      <c r="AS51" s="5" t="inlineStr"/>
      <c r="AT51" s="5" t="inlineStr">
        <is>
          <t>DEC</t>
        </is>
      </c>
      <c r="AU51" s="5" t="n">
        <v>2023</v>
      </c>
      <c r="AV51" s="5" t="n">
        <v>53</v>
      </c>
      <c r="AW51" s="5" t="n">
        <v>6</v>
      </c>
      <c r="AX51" s="5" t="inlineStr"/>
      <c r="AY51" s="5" t="inlineStr"/>
      <c r="AZ51" s="5" t="inlineStr"/>
      <c r="BA51" s="5" t="inlineStr"/>
      <c r="BB51" s="5" t="n">
        <v>635</v>
      </c>
      <c r="BC51" s="5" t="n">
        <v>651</v>
      </c>
      <c r="BD51" s="5" t="inlineStr"/>
      <c r="BE51" s="5" t="inlineStr">
        <is>
          <t>10.4040/jkan.23052</t>
        </is>
      </c>
      <c r="BF51" s="5" t="n">
        <v>0</v>
      </c>
      <c r="BG51" s="5" t="inlineStr"/>
      <c r="BH51" s="5" t="inlineStr"/>
      <c r="BI51" s="5" t="inlineStr"/>
      <c r="BJ51" s="5" t="inlineStr"/>
      <c r="BK51" s="5" t="inlineStr"/>
      <c r="BL51" s="5" t="inlineStr"/>
      <c r="BM51" s="5" t="inlineStr"/>
      <c r="BN51" s="5" t="inlineStr"/>
      <c r="BO51" s="5" t="inlineStr"/>
      <c r="BP51" s="5" t="inlineStr"/>
      <c r="BQ51" s="5" t="inlineStr"/>
      <c r="BR51" s="5" t="inlineStr">
        <is>
          <t>2026-05-29</t>
        </is>
      </c>
      <c r="BS51" s="5" t="inlineStr">
        <is>
          <t>WOS:001143408800002</t>
        </is>
      </c>
      <c r="BT51" s="5" t="n">
        <v>0</v>
      </c>
      <c r="BU51">
        <f>COUNTIF('오픈소스&amp;직접수집'!F:F,'wos(corecollection)_260528'!BE51)</f>
        <v/>
      </c>
      <c r="BV51">
        <f>COUNTIF('오픈소스&amp;직접수집'!A:A,'wos(corecollection)_260528'!I51)</f>
        <v/>
      </c>
      <c r="BW51">
        <f>SUM(BU51:BV51)</f>
        <v/>
      </c>
    </row>
    <row r="52">
      <c r="A52" s="5" t="inlineStr">
        <is>
          <t>cyram 인용</t>
        </is>
      </c>
      <c r="B52" s="5" t="inlineStr">
        <is>
          <t>Ahn, SH; Jeong, HW</t>
        </is>
      </c>
      <c r="C52" s="5" t="inlineStr"/>
      <c r="D52" s="5" t="inlineStr"/>
      <c r="E52" s="5" t="inlineStr"/>
      <c r="F52" s="5" t="inlineStr">
        <is>
          <t>Ahn, Shin Hye; Jeong, Hye Won</t>
        </is>
      </c>
      <c r="G52" s="5" t="inlineStr"/>
      <c r="H52" s="5" t="inlineStr"/>
      <c r="I52" s="5" t="inlineStr">
        <is>
          <t>Content Analysis of Feedback Journals for New Nurses From Preceptor Nurses Using Text Network Analysis</t>
        </is>
      </c>
      <c r="J52" s="5" t="inlineStr">
        <is>
          <t>CIN-COMPUTERS INFORMATICS NURSING</t>
        </is>
      </c>
      <c r="K52" s="5" t="inlineStr"/>
      <c r="L52" s="5" t="inlineStr"/>
      <c r="M52" s="5" t="inlineStr"/>
      <c r="N52" s="5" t="inlineStr">
        <is>
          <t>Article</t>
        </is>
      </c>
      <c r="O52" s="5" t="inlineStr"/>
      <c r="P52" s="5" t="inlineStr"/>
      <c r="Q52" s="5" t="inlineStr"/>
      <c r="R52" s="5" t="inlineStr"/>
      <c r="S52" s="5" t="inlineStr"/>
      <c r="T52" s="5" t="inlineStr"/>
      <c r="U52" s="5" t="inlineStr"/>
      <c r="V52" s="5" t="inlineStr">
        <is>
          <t>This study aimed to identify keywords, core topic areas, and subthemes by analyzing feedback journals written by preceptor nurses to new nurses during the preceptorship period and to derive implications through word clustering. A total of 143 preceptor nurses' feedback journals for new nurses from March 2020 to January 2021 were converted into a database using Microsoft Office Excel. Text network analysis was performed using the NetMiner 4.4.3 program. After data preprocessing, simple frequency, degree centrality, closeness centrality, betweenness centrality, and community modularity were analyzed. In the feedback journals, the most central words were study, medication, practice, nursing, method, need, and effort, whereas frustration, new nurses had low centrality. Five subthemes were derived: (1) learning necessity to strengthen new nurses' competency, (2) independence of new nurses, (3) emphasis on accuracy in nursing skills, (4) difficulties in understanding the nursing tasks expected of new nurses, and (5) basic competency of new nurses. The results of this study highlighted the experiences of new nurses and allowed for an assessment of journal feedback content provided by preceptor nurses. As such, the study provides basic data to develop a standardized education and competency empowerment program for preceptor nurses.</t>
        </is>
      </c>
      <c r="W52" s="5" t="inlineStr">
        <is>
          <t>[Ahn, Shin Hye; Jeong, Hye Won] Chonnam Natl Univ Hosp, Dept Nursing, Gwangju, South Korea; [Ahn, Shin Hye; Jeong, Hye Won] Chonnam Natl Univ, Coll Nursing, Gwangju, South Korea; [Jeong, Hye Won] Chonnam Natl Univ Hosp, Dept Nursing, 42 Jebong Ro, Gwangju 61469, South Korea; [Jeong, Hye Won] Chonnam Natl Univ, Coll Nursing, 160 Baekseo Ro, Gwangju 61469, South Korea</t>
        </is>
      </c>
      <c r="X52" s="5" t="inlineStr"/>
      <c r="Y52" s="5" t="inlineStr">
        <is>
          <t>Jeong, HW (corresponding author), Chonnam Natl Univ Hosp, Dept Nursing, 42 Jebong Ro, Gwangju 61469, South Korea.;Jeong, HW (corresponding author), Chonnam Natl Univ, Coll Nursing, 160 Baekseo Ro, Gwangju 61469, South Korea.</t>
        </is>
      </c>
      <c r="Z52" s="5" t="inlineStr">
        <is>
          <t>chunyanggirl@naver.com; y2k331646@gmail.com</t>
        </is>
      </c>
      <c r="AA52" s="5" t="inlineStr"/>
      <c r="AB52" s="5" t="inlineStr"/>
      <c r="AC52" s="5" t="inlineStr"/>
      <c r="AD52" s="5" t="inlineStr"/>
      <c r="AE52" s="5" t="inlineStr"/>
      <c r="AF52" s="5" t="inlineStr"/>
      <c r="AG52" s="5" t="n">
        <v>40</v>
      </c>
      <c r="AH52" s="5" t="n">
        <v>2</v>
      </c>
      <c r="AI52" s="5" t="n">
        <v>4</v>
      </c>
      <c r="AJ52" s="5" t="inlineStr"/>
      <c r="AK52" s="5" t="inlineStr"/>
      <c r="AL52" s="5" t="inlineStr"/>
      <c r="AM52" s="5" t="inlineStr"/>
      <c r="AN52" s="5" t="inlineStr"/>
      <c r="AO52" s="5" t="inlineStr"/>
      <c r="AP52" s="5" t="inlineStr"/>
      <c r="AQ52" s="5" t="inlineStr"/>
      <c r="AR52" s="5" t="inlineStr"/>
      <c r="AS52" s="5" t="inlineStr"/>
      <c r="AT52" s="5" t="inlineStr">
        <is>
          <t>OCT</t>
        </is>
      </c>
      <c r="AU52" s="5" t="n">
        <v>2023</v>
      </c>
      <c r="AV52" s="5" t="n">
        <v>41</v>
      </c>
      <c r="AW52" s="5" t="n">
        <v>10</v>
      </c>
      <c r="AX52" s="5" t="inlineStr"/>
      <c r="AY52" s="5" t="inlineStr"/>
      <c r="AZ52" s="5" t="inlineStr"/>
      <c r="BA52" s="5" t="inlineStr"/>
      <c r="BB52" s="5" t="n">
        <v>780</v>
      </c>
      <c r="BC52" s="5" t="n">
        <v>788</v>
      </c>
      <c r="BD52" s="5" t="inlineStr"/>
      <c r="BE52" s="5" t="inlineStr">
        <is>
          <t>10.1097/CIN.0000000000001040</t>
        </is>
      </c>
      <c r="BF52" s="5" t="n">
        <v>0</v>
      </c>
      <c r="BG52" s="5" t="inlineStr"/>
      <c r="BH52" s="5" t="inlineStr"/>
      <c r="BI52" s="5" t="inlineStr"/>
      <c r="BJ52" s="5" t="inlineStr"/>
      <c r="BK52" s="5" t="inlineStr"/>
      <c r="BL52" s="5" t="inlineStr"/>
      <c r="BM52" s="5" t="inlineStr"/>
      <c r="BN52" s="5" t="inlineStr"/>
      <c r="BO52" s="5" t="inlineStr"/>
      <c r="BP52" s="5" t="inlineStr"/>
      <c r="BQ52" s="5" t="inlineStr"/>
      <c r="BR52" s="5" t="inlineStr">
        <is>
          <t>2026-05-29</t>
        </is>
      </c>
      <c r="BS52" s="5" t="inlineStr">
        <is>
          <t>WOS:001085260500007</t>
        </is>
      </c>
      <c r="BT52" s="5" t="n">
        <v>0</v>
      </c>
      <c r="BU52">
        <f>COUNTIF('오픈소스&amp;직접수집'!F:F,'wos(corecollection)_260528'!BE52)</f>
        <v/>
      </c>
      <c r="BV52">
        <f>COUNTIF('오픈소스&amp;직접수집'!A:A,'wos(corecollection)_260528'!I52)</f>
        <v/>
      </c>
      <c r="BW52">
        <f>SUM(BU52:BV52)</f>
        <v/>
      </c>
    </row>
    <row r="53">
      <c r="A53" s="5" t="inlineStr">
        <is>
          <t>cyram 인용</t>
        </is>
      </c>
      <c r="B53" s="5" t="inlineStr">
        <is>
          <t>Im, DH; Chung, JB</t>
        </is>
      </c>
      <c r="C53" s="5" t="inlineStr"/>
      <c r="D53" s="5" t="inlineStr"/>
      <c r="E53" s="5" t="inlineStr"/>
      <c r="F53" s="5" t="inlineStr">
        <is>
          <t>Im, Dong-Hyeon; Chung, Ji-Bum</t>
        </is>
      </c>
      <c r="G53" s="5" t="inlineStr"/>
      <c r="H53" s="5" t="inlineStr"/>
      <c r="I53" s="5" t="inlineStr">
        <is>
          <t>Social construction of fire accidents in battery energy storage systems in Korea</t>
        </is>
      </c>
      <c r="J53" s="5" t="inlineStr">
        <is>
          <t>JOURNAL OF ENERGY STORAGE</t>
        </is>
      </c>
      <c r="K53" s="5" t="inlineStr"/>
      <c r="L53" s="5" t="inlineStr"/>
      <c r="M53" s="5" t="inlineStr"/>
      <c r="N53" s="5" t="inlineStr">
        <is>
          <t>Article</t>
        </is>
      </c>
      <c r="O53" s="5" t="inlineStr"/>
      <c r="P53" s="5" t="inlineStr"/>
      <c r="Q53" s="5" t="inlineStr"/>
      <c r="R53" s="5" t="inlineStr"/>
      <c r="S53" s="5" t="inlineStr"/>
      <c r="T53" s="5" t="inlineStr"/>
      <c r="U53" s="5" t="inlineStr"/>
      <c r="V53" s="5" t="inlineStr">
        <is>
          <t>Renewable energy (RE) has the potential to become an essential part of the national policy for energy transition. The government of the Republic of Korea has sought to solve the problem of RE intermittency and achieve flexible grid management by leveraging a powerful policy drive for battery energy storage system (B-ESS) technology. However, from 2017 to 2019, over two dozen B-ESS fire accidents occurred across Korea. Consecutive fires in B-ESSs, which were expected to be game-changers in energy transition, have instead become an issue of social concern. This study aims to analyze the influence of various social factors on fire accidents, for which previous studies could not provide sufficient explanation. A literature analysis and qualitative interviews revealed the social construction process of B-ESS fires through stakeholder interaction. The economic incentive schemes of B-ESS and insufficient safety regulations has had a significant influence on the interactions of relevant social groups (RSGs), and several factors in the environment, organizations, and cognition/choice of RSGs have exacerbated fire risks. This research provides a clearer understanding of the adverse outcomes of adopting new energy technologies.</t>
        </is>
      </c>
      <c r="W53" s="5" t="inlineStr">
        <is>
          <t>[Im, Dong-Hyeon; Chung, Ji-Bum] Ulsan Natl Inst Sci &amp; Technol, Sch Urban &amp; Environm Engn, 50 Unist gil, Ulsan 44919, South Korea</t>
        </is>
      </c>
      <c r="X53" s="5" t="inlineStr"/>
      <c r="Y53" s="5" t="inlineStr">
        <is>
          <t>Chung, JB (corresponding author), Ulsan Natl Inst Sci &amp; Technol, Sch Urban &amp; Environm Engn, 50 Unist gil, Ulsan 44919, South Korea.</t>
        </is>
      </c>
      <c r="Z53" s="5" t="inlineStr">
        <is>
          <t>learning@unist.ac.kr</t>
        </is>
      </c>
      <c r="AA53" s="5" t="inlineStr"/>
      <c r="AB53" s="5" t="inlineStr"/>
      <c r="AC53" s="5" t="inlineStr"/>
      <c r="AD53" s="5" t="inlineStr"/>
      <c r="AE53" s="5" t="inlineStr"/>
      <c r="AF53" s="5" t="inlineStr"/>
      <c r="AG53" s="5" t="n">
        <v>73</v>
      </c>
      <c r="AH53" s="5" t="n">
        <v>10</v>
      </c>
      <c r="AI53" s="5" t="n">
        <v>16</v>
      </c>
      <c r="AJ53" s="5" t="inlineStr"/>
      <c r="AK53" s="5" t="inlineStr"/>
      <c r="AL53" s="5" t="inlineStr"/>
      <c r="AM53" s="5" t="inlineStr"/>
      <c r="AN53" s="5" t="inlineStr"/>
      <c r="AO53" s="5" t="inlineStr"/>
      <c r="AP53" s="5" t="inlineStr"/>
      <c r="AQ53" s="5" t="inlineStr"/>
      <c r="AR53" s="5" t="inlineStr"/>
      <c r="AS53" s="5" t="inlineStr"/>
      <c r="AT53" s="5" t="inlineStr">
        <is>
          <t>NOV 1</t>
        </is>
      </c>
      <c r="AU53" s="5" t="n">
        <v>2023</v>
      </c>
      <c r="AV53" s="5" t="n">
        <v>71</v>
      </c>
      <c r="AW53" s="5" t="inlineStr"/>
      <c r="AX53" s="5" t="inlineStr"/>
      <c r="AY53" s="5" t="inlineStr"/>
      <c r="AZ53" s="5" t="inlineStr"/>
      <c r="BA53" s="5" t="inlineStr"/>
      <c r="BB53" s="5" t="inlineStr"/>
      <c r="BC53" s="5" t="inlineStr"/>
      <c r="BD53" s="5" t="n">
        <v>108192</v>
      </c>
      <c r="BE53" s="5" t="inlineStr">
        <is>
          <t>10.1016/j.est.2023.108192</t>
        </is>
      </c>
      <c r="BF53" s="5" t="n">
        <v>0</v>
      </c>
      <c r="BG53" s="5" t="inlineStr"/>
      <c r="BH53" s="5" t="inlineStr">
        <is>
          <t>JUL 2023</t>
        </is>
      </c>
      <c r="BI53" s="5" t="inlineStr"/>
      <c r="BJ53" s="5" t="inlineStr"/>
      <c r="BK53" s="5" t="inlineStr"/>
      <c r="BL53" s="5" t="inlineStr"/>
      <c r="BM53" s="5" t="inlineStr"/>
      <c r="BN53" s="5" t="inlineStr"/>
      <c r="BO53" s="5" t="inlineStr"/>
      <c r="BP53" s="5" t="inlineStr"/>
      <c r="BQ53" s="5" t="inlineStr"/>
      <c r="BR53" s="5" t="inlineStr">
        <is>
          <t>2026-05-29</t>
        </is>
      </c>
      <c r="BS53" s="5" t="inlineStr">
        <is>
          <t>WOS:001032264200001</t>
        </is>
      </c>
      <c r="BT53" s="5" t="n">
        <v>0</v>
      </c>
      <c r="BU53">
        <f>COUNTIF('오픈소스&amp;직접수집'!F:F,'wos(corecollection)_260528'!BE53)</f>
        <v/>
      </c>
      <c r="BV53">
        <f>COUNTIF('오픈소스&amp;직접수집'!A:A,'wos(corecollection)_260528'!I53)</f>
        <v/>
      </c>
      <c r="BW53">
        <f>SUM(BU53:BV53)</f>
        <v/>
      </c>
    </row>
    <row r="54">
      <c r="A54" s="5" t="inlineStr">
        <is>
          <t>cyram 인용</t>
        </is>
      </c>
      <c r="B54" s="5" t="inlineStr">
        <is>
          <t>Ahn, EY; Kim, SY</t>
        </is>
      </c>
      <c r="C54" s="5" t="inlineStr"/>
      <c r="D54" s="5" t="inlineStr"/>
      <c r="E54" s="5" t="inlineStr"/>
      <c r="F54" s="5" t="inlineStr">
        <is>
          <t>Ahn, Eun-Young; Kim, Seong-Yong</t>
        </is>
      </c>
      <c r="G54" s="5" t="inlineStr"/>
      <c r="H54" s="5" t="inlineStr"/>
      <c r="I54" s="5" t="inlineStr">
        <is>
          <t>Digital Twin Application and Bibliometric Analysis for Digitization and Intelligence Studies in Geology and Deep Underground Research Areas</t>
        </is>
      </c>
      <c r="J54" s="5" t="inlineStr">
        <is>
          <t>DATA</t>
        </is>
      </c>
      <c r="K54" s="5" t="inlineStr"/>
      <c r="L54" s="5" t="inlineStr"/>
      <c r="M54" s="5" t="inlineStr"/>
      <c r="N54" s="5" t="inlineStr">
        <is>
          <t>Article</t>
        </is>
      </c>
      <c r="O54" s="5" t="inlineStr"/>
      <c r="P54" s="5" t="inlineStr"/>
      <c r="Q54" s="5" t="inlineStr"/>
      <c r="R54" s="5" t="inlineStr"/>
      <c r="S54" s="5" t="inlineStr"/>
      <c r="T54" s="5" t="inlineStr"/>
      <c r="U54" s="5" t="inlineStr"/>
      <c r="V54" s="5" t="inlineStr">
        <is>
          <t>As deep underground digital twins have not yet been established worldwide, this study extracted keywords from national or city-led digital twin practices and elements of digital twins and through these keywords selected research papers and topics that could contribute to the establishment of deep underground digital twins in the future. We applied the concept of digital twins in geology and underground research to collect 1702 papers from the Web of Science and conducted semantic network analysis and topic modeling. The keywords digital, three dimensions, and real time were placed in the middle and have many links in the word network. Artificial intelligence, deep learning, and neural networks all showed a low degree of centrality. As a result of topic modeling using Latent Dirichlet allocation (LDA), topics related to topography, geological structure, and rock distribution, which are the basic data for building a deep underground digital twin, were noted, and topics related to earthquakes/vibrations, landslides, groundwater, and volcanoes were identified. Energy resources and space utilization have emerged as the main themes.</t>
        </is>
      </c>
      <c r="W54" s="5" t="inlineStr">
        <is>
          <t>[Ahn, Eun-Young; Kim, Seong-Yong] Korea Inst Geosci &amp; Mineral Resources KIGAM, Future Geostrategy Res Ctr, 124 Gwahang No, Daejeon 34132, South Korea</t>
        </is>
      </c>
      <c r="X54" s="5" t="inlineStr"/>
      <c r="Y54" s="5" t="inlineStr">
        <is>
          <t>Ahn, EY (corresponding author), Korea Inst Geosci &amp; Mineral Resources KIGAM, Future Geostrategy Res Ctr, 124 Gwahang No, Daejeon 34132, South Korea.</t>
        </is>
      </c>
      <c r="Z54" s="5" t="inlineStr">
        <is>
          <t>eyahn@kigam.re.kr</t>
        </is>
      </c>
      <c r="AA54" s="5" t="inlineStr"/>
      <c r="AB54" s="5" t="inlineStr"/>
      <c r="AC54" s="5" t="inlineStr"/>
      <c r="AD54" s="5" t="inlineStr"/>
      <c r="AE54" s="5" t="inlineStr"/>
      <c r="AF54" s="5" t="inlineStr"/>
      <c r="AG54" s="5" t="n">
        <v>25</v>
      </c>
      <c r="AH54" s="5" t="n">
        <v>3</v>
      </c>
      <c r="AI54" s="5" t="n">
        <v>4</v>
      </c>
      <c r="AJ54" s="5" t="inlineStr"/>
      <c r="AK54" s="5" t="inlineStr"/>
      <c r="AL54" s="5" t="inlineStr"/>
      <c r="AM54" s="5" t="inlineStr"/>
      <c r="AN54" s="5" t="inlineStr"/>
      <c r="AO54" s="5" t="inlineStr"/>
      <c r="AP54" s="5" t="inlineStr"/>
      <c r="AQ54" s="5" t="inlineStr"/>
      <c r="AR54" s="5" t="inlineStr"/>
      <c r="AS54" s="5" t="inlineStr"/>
      <c r="AT54" s="5" t="inlineStr">
        <is>
          <t>APR</t>
        </is>
      </c>
      <c r="AU54" s="5" t="n">
        <v>2023</v>
      </c>
      <c r="AV54" s="5" t="n">
        <v>8</v>
      </c>
      <c r="AW54" s="5" t="n">
        <v>4</v>
      </c>
      <c r="AX54" s="5" t="inlineStr"/>
      <c r="AY54" s="5" t="inlineStr"/>
      <c r="AZ54" s="5" t="inlineStr"/>
      <c r="BA54" s="5" t="inlineStr"/>
      <c r="BB54" s="5" t="inlineStr"/>
      <c r="BC54" s="5" t="inlineStr"/>
      <c r="BD54" s="5" t="n">
        <v>73</v>
      </c>
      <c r="BE54" s="5" t="inlineStr">
        <is>
          <t>10.3390/data8040073</t>
        </is>
      </c>
      <c r="BF54" s="5" t="n">
        <v>0</v>
      </c>
      <c r="BG54" s="5" t="inlineStr"/>
      <c r="BH54" s="5" t="inlineStr"/>
      <c r="BI54" s="5" t="inlineStr"/>
      <c r="BJ54" s="5" t="inlineStr"/>
      <c r="BK54" s="5" t="inlineStr"/>
      <c r="BL54" s="5" t="inlineStr"/>
      <c r="BM54" s="5" t="inlineStr"/>
      <c r="BN54" s="5" t="inlineStr"/>
      <c r="BO54" s="5" t="inlineStr"/>
      <c r="BP54" s="5" t="inlineStr"/>
      <c r="BQ54" s="5" t="inlineStr"/>
      <c r="BR54" s="5" t="inlineStr">
        <is>
          <t>2026-05-29</t>
        </is>
      </c>
      <c r="BS54" s="5" t="inlineStr">
        <is>
          <t>WOS:000978879400001</t>
        </is>
      </c>
      <c r="BT54" s="5" t="n">
        <v>0</v>
      </c>
      <c r="BU54">
        <f>COUNTIF('오픈소스&amp;직접수집'!F:F,'wos(corecollection)_260528'!BE54)</f>
        <v/>
      </c>
      <c r="BV54">
        <f>COUNTIF('오픈소스&amp;직접수집'!A:A,'wos(corecollection)_260528'!I54)</f>
        <v/>
      </c>
      <c r="BW54">
        <f>SUM(BU54:BV54)</f>
        <v/>
      </c>
    </row>
    <row r="55">
      <c r="A55" s="5" t="inlineStr">
        <is>
          <t>cyram 인용</t>
        </is>
      </c>
      <c r="B55" s="5" t="inlineStr">
        <is>
          <t>Lee, MS; Chung, HS; Kim, JS</t>
        </is>
      </c>
      <c r="C55" s="5" t="inlineStr"/>
      <c r="D55" s="5" t="inlineStr"/>
      <c r="E55" s="5" t="inlineStr"/>
      <c r="F55" s="5" t="inlineStr">
        <is>
          <t>Lee, Myeong Seon; Chung, Hyun-Sook; Kim, Jin Sun</t>
        </is>
      </c>
      <c r="G55" s="5" t="inlineStr"/>
      <c r="H55" s="5" t="inlineStr"/>
      <c r="I55" s="5" t="inlineStr">
        <is>
          <t>Analysis of online parenting community posts on expanded newborn screening for metabolic disorders using topic modeling: a quantitative content analysis</t>
        </is>
      </c>
      <c r="J55" s="5" t="inlineStr">
        <is>
          <t>KOREAN JOURNAL OF WOMEN HEALTH NURSING</t>
        </is>
      </c>
      <c r="K55" s="5" t="inlineStr"/>
      <c r="L55" s="5" t="inlineStr"/>
      <c r="M55" s="5" t="inlineStr"/>
      <c r="N55" s="5" t="inlineStr">
        <is>
          <t>Article</t>
        </is>
      </c>
      <c r="O55" s="5" t="inlineStr"/>
      <c r="P55" s="5" t="inlineStr"/>
      <c r="Q55" s="5" t="inlineStr"/>
      <c r="R55" s="5" t="inlineStr"/>
      <c r="S55" s="5" t="inlineStr"/>
      <c r="T55" s="5" t="inlineStr"/>
      <c r="U55" s="5" t="inlineStr"/>
      <c r="V55" s="5" t="inlineStr">
        <is>
          <t>Purpose: As more newborns have received expanded newborn screening (NBS) for metabolic disorders, the overall number of false-positive results has increased. The purpose of this study was to explore the psychological impacts experienced by mothers related to the NBS process. Methods: An online parenting community in Korea was selected, and questions regarding NBS were collected using web crawling for the period from October 2018 to August 2021. In total, 634 posts were analyzed. The collected unstructured text data were preprocessed, and keyword analysis, topic modeling, and visualization were performed. Results: Of 1,057 words extracted from posts, the top keyword based on `term frequency-inverse document frequency' values was  hypothyroidism, followed by discharge, close examination, thyroid-stimulating hormone levels, and jaundice. The top keyword based on the simple frequency of appearance was XXX hospital, followed by close examination, discharge, breastfeeding,  hypothyroidism, and professor. As a result of LDA topic modeling, posts related to inborn errors of metabolism (IEMs) were classified into four main themes: confirmatory tests of IEMs, mother and newborn with thyroid function problems, retests of IEMs, and feeding related to IEMs. Mothers experienced substantial frustration, stress, and anxiety when they received positive NBS results. Conclusion: The online parenting community played an important role in acquiring and sharing information, as well as psychological support related to NBS in newborn mothers. Nurses can use this study's findings to develop timely and evidence-based information for parents whose children receive positive NBS results to reduce the negative psychological impact.</t>
        </is>
      </c>
      <c r="W55" s="5" t="inlineStr">
        <is>
          <t>[Lee, Myeong Seon] Nambu Univ, Dept Nursing, Gwangju, South Korea; [Chung, Hyun-Sook] Chosun Univ, Dept Comp Engn, Gwangju, South Korea; [Kim, Jin Sun] Chosun Univ, Dept Nursing, 146 Chosundae Gil, Gwangju 61452, South Korea</t>
        </is>
      </c>
      <c r="X55" s="5" t="inlineStr"/>
      <c r="Y55" s="5" t="inlineStr">
        <is>
          <t>Kim, JS (corresponding author), Chosun Univ, Dept Nursing, 146 Chosundae Gil, Gwangju 61452, South Korea.</t>
        </is>
      </c>
      <c r="Z55" s="5" t="inlineStr">
        <is>
          <t>jinsun@chosun.ac.kr</t>
        </is>
      </c>
      <c r="AA55" s="5" t="inlineStr"/>
      <c r="AB55" s="5" t="inlineStr"/>
      <c r="AC55" s="5" t="inlineStr"/>
      <c r="AD55" s="5" t="inlineStr"/>
      <c r="AE55" s="5" t="inlineStr"/>
      <c r="AF55" s="5" t="inlineStr"/>
      <c r="AG55" s="5" t="n">
        <v>43</v>
      </c>
      <c r="AH55" s="5" t="n">
        <v>2</v>
      </c>
      <c r="AI55" s="5" t="n">
        <v>2</v>
      </c>
      <c r="AJ55" s="5" t="inlineStr"/>
      <c r="AK55" s="5" t="inlineStr"/>
      <c r="AL55" s="5" t="inlineStr"/>
      <c r="AM55" s="5" t="inlineStr"/>
      <c r="AN55" s="5" t="inlineStr"/>
      <c r="AO55" s="5" t="inlineStr"/>
      <c r="AP55" s="5" t="inlineStr"/>
      <c r="AQ55" s="5" t="inlineStr"/>
      <c r="AR55" s="5" t="inlineStr"/>
      <c r="AS55" s="5" t="inlineStr"/>
      <c r="AT55" s="5" t="inlineStr">
        <is>
          <t>MAR</t>
        </is>
      </c>
      <c r="AU55" s="5" t="n">
        <v>2023</v>
      </c>
      <c r="AV55" s="5" t="n">
        <v>29</v>
      </c>
      <c r="AW55" s="5" t="n">
        <v>1</v>
      </c>
      <c r="AX55" s="5" t="inlineStr"/>
      <c r="AY55" s="5" t="inlineStr"/>
      <c r="AZ55" s="5" t="inlineStr"/>
      <c r="BA55" s="5" t="inlineStr"/>
      <c r="BB55" s="5" t="n">
        <v>20</v>
      </c>
      <c r="BC55" s="5" t="n">
        <v>31</v>
      </c>
      <c r="BD55" s="5" t="inlineStr"/>
      <c r="BE55" s="5" t="inlineStr">
        <is>
          <t>10.4069/kjwhn.2023.02.21</t>
        </is>
      </c>
      <c r="BF55" s="5" t="n">
        <v>0</v>
      </c>
      <c r="BG55" s="5" t="inlineStr"/>
      <c r="BH55" s="5" t="inlineStr"/>
      <c r="BI55" s="5" t="inlineStr"/>
      <c r="BJ55" s="5" t="inlineStr"/>
      <c r="BK55" s="5" t="inlineStr"/>
      <c r="BL55" s="5" t="inlineStr"/>
      <c r="BM55" s="5" t="inlineStr"/>
      <c r="BN55" s="5" t="inlineStr"/>
      <c r="BO55" s="5" t="inlineStr"/>
      <c r="BP55" s="5" t="inlineStr"/>
      <c r="BQ55" s="5" t="inlineStr"/>
      <c r="BR55" s="5" t="inlineStr">
        <is>
          <t>2026-05-29</t>
        </is>
      </c>
      <c r="BS55" s="5" t="inlineStr">
        <is>
          <t>WOS:000968072900004</t>
        </is>
      </c>
      <c r="BT55" s="5" t="n">
        <v>0</v>
      </c>
      <c r="BU55">
        <f>COUNTIF('오픈소스&amp;직접수집'!F:F,'wos(corecollection)_260528'!BE55)</f>
        <v/>
      </c>
      <c r="BV55">
        <f>COUNTIF('오픈소스&amp;직접수집'!A:A,'wos(corecollection)_260528'!I55)</f>
        <v/>
      </c>
      <c r="BW55">
        <f>SUM(BU55:BV55)</f>
        <v/>
      </c>
    </row>
    <row r="56">
      <c r="A56" s="5" t="inlineStr">
        <is>
          <t>cyram 인용</t>
        </is>
      </c>
      <c r="B56" s="5" t="inlineStr">
        <is>
          <t>Ha, JY; Park, HJ</t>
        </is>
      </c>
      <c r="C56" s="5" t="inlineStr"/>
      <c r="D56" s="5" t="inlineStr"/>
      <c r="E56" s="5" t="inlineStr"/>
      <c r="F56" s="5" t="inlineStr">
        <is>
          <t>Ha, Ju-Young; Park, Hyo-Jin</t>
        </is>
      </c>
      <c r="G56" s="5" t="inlineStr"/>
      <c r="H56" s="5" t="inlineStr"/>
      <c r="I56" s="5" t="inlineStr">
        <is>
          <t>Keyword Network Analysis and Topic Modeling of News Articles Related to Artificial Intelligence and Nursing br</t>
        </is>
      </c>
      <c r="J56" s="5" t="inlineStr">
        <is>
          <t>JOURNAL OF KOREAN ACADEMY OF NURSING</t>
        </is>
      </c>
      <c r="K56" s="5" t="inlineStr"/>
      <c r="L56" s="5" t="inlineStr"/>
      <c r="M56" s="5" t="inlineStr"/>
      <c r="N56" s="5" t="inlineStr">
        <is>
          <t>Article</t>
        </is>
      </c>
      <c r="O56" s="5" t="inlineStr"/>
      <c r="P56" s="5" t="inlineStr"/>
      <c r="Q56" s="5" t="inlineStr"/>
      <c r="R56" s="5" t="inlineStr"/>
      <c r="S56" s="5" t="inlineStr"/>
      <c r="T56" s="5" t="inlineStr"/>
      <c r="U56" s="5" t="inlineStr"/>
      <c r="V56" s="5" t="inlineStr">
        <is>
          <t>Purpose: The purpose of this study was to identify the main keywords, network properties, and main topics of news articles related to arti-ficial intelligence technology in the field of nursing.Methods: After collecting artificial intelligence-and nursing-related news articles pub-lished between January 1, 1991, and July 24, 2022, keywords were extracted via preprocessing. A total of 3,267 articles were searched, and 2,996 were used for the final analysis. Text network analysis and topic modeling were performed using NetMiner 4.4.Results: As a result of analyzing the frequency of appearance, the keywords used most frequently were education, medical robot, telecom, dementia, and the older adults living alone. Keyword network analysis revealed the following results: a density of 0.002, an average degree of 8.79, and an average distance of 2.43; the central keywords identified were 'education,' 'medical robot,' and 'fourth industry.' Five topics were derived from news articles related to artificial intelligence and nursing: 'Artificial intelligence nursing research and development in the health and medical field,' 'Education using artificial intelligence for children and youth care,' 'Nursing robot for older adults care,' 'Community care policy and artificial intelligence,' and 'Smart care technology in an aging society.'Conclusion: The use of artificial intelligence may be help-ful among the local community, older adult, children, and adolescents. In particular, health management using artificial intelligence is indis-pensable now that we are facing a super-aging society. In the future, studies on nursing intervention and development of nursing programs using artificial intelligence should be conducted</t>
        </is>
      </c>
      <c r="W56" s="5" t="inlineStr">
        <is>
          <t>[Ha, Ju-Young; Park, Hyo-Jin] Pusan Natl Univ, Coll Nursing, 49 Busandaehak Ro, Yangsan 50612, South Korea</t>
        </is>
      </c>
      <c r="X56" s="5" t="inlineStr"/>
      <c r="Y56" s="5" t="inlineStr">
        <is>
          <t>Park, HJ (corresponding author), Pusan Natl Univ, Coll Nursing, 49 Busandaehak Ro, Yangsan 50612, South Korea.</t>
        </is>
      </c>
      <c r="Z56" s="5" t="inlineStr">
        <is>
          <t>hyojin@pusan.ac.kr</t>
        </is>
      </c>
      <c r="AA56" s="5" t="inlineStr"/>
      <c r="AB56" s="5" t="inlineStr"/>
      <c r="AC56" s="5" t="inlineStr"/>
      <c r="AD56" s="5" t="inlineStr"/>
      <c r="AE56" s="5" t="inlineStr"/>
      <c r="AF56" s="5" t="inlineStr"/>
      <c r="AG56" s="5" t="n">
        <v>50</v>
      </c>
      <c r="AH56" s="5" t="n">
        <v>2</v>
      </c>
      <c r="AI56" s="5" t="n">
        <v>3</v>
      </c>
      <c r="AJ56" s="5" t="inlineStr"/>
      <c r="AK56" s="5" t="inlineStr"/>
      <c r="AL56" s="5" t="inlineStr"/>
      <c r="AM56" s="5" t="inlineStr"/>
      <c r="AN56" s="5" t="inlineStr"/>
      <c r="AO56" s="5" t="inlineStr"/>
      <c r="AP56" s="5" t="inlineStr"/>
      <c r="AQ56" s="5" t="inlineStr"/>
      <c r="AR56" s="5" t="inlineStr"/>
      <c r="AS56" s="5" t="inlineStr"/>
      <c r="AT56" s="5" t="inlineStr">
        <is>
          <t>FEB</t>
        </is>
      </c>
      <c r="AU56" s="5" t="n">
        <v>2023</v>
      </c>
      <c r="AV56" s="5" t="n">
        <v>53</v>
      </c>
      <c r="AW56" s="5" t="n">
        <v>1</v>
      </c>
      <c r="AX56" s="5" t="inlineStr"/>
      <c r="AY56" s="5" t="inlineStr"/>
      <c r="AZ56" s="5" t="inlineStr"/>
      <c r="BA56" s="5" t="inlineStr"/>
      <c r="BB56" s="5" t="inlineStr"/>
      <c r="BC56" s="5" t="inlineStr"/>
      <c r="BD56" s="5" t="n">
        <v>55</v>
      </c>
      <c r="BE56" s="5" t="inlineStr">
        <is>
          <t>10.4040/jkan.22117</t>
        </is>
      </c>
      <c r="BF56" s="5" t="n">
        <v>0</v>
      </c>
      <c r="BG56" s="5" t="inlineStr"/>
      <c r="BH56" s="5" t="inlineStr"/>
      <c r="BI56" s="5" t="inlineStr"/>
      <c r="BJ56" s="5" t="inlineStr"/>
      <c r="BK56" s="5" t="inlineStr"/>
      <c r="BL56" s="5" t="inlineStr"/>
      <c r="BM56" s="5" t="inlineStr"/>
      <c r="BN56" s="5" t="inlineStr"/>
      <c r="BO56" s="5" t="inlineStr"/>
      <c r="BP56" s="5" t="inlineStr"/>
      <c r="BQ56" s="5" t="inlineStr"/>
      <c r="BR56" s="5" t="inlineStr">
        <is>
          <t>2026-05-29</t>
        </is>
      </c>
      <c r="BS56" s="5" t="inlineStr">
        <is>
          <t>WOS:000941874100005</t>
        </is>
      </c>
      <c r="BT56" s="5" t="n">
        <v>0</v>
      </c>
      <c r="BU56">
        <f>COUNTIF('오픈소스&amp;직접수집'!F:F,'wos(corecollection)_260528'!BE56)</f>
        <v/>
      </c>
      <c r="BV56">
        <f>COUNTIF('오픈소스&amp;직접수집'!A:A,'wos(corecollection)_260528'!I56)</f>
        <v/>
      </c>
      <c r="BW56">
        <f>SUM(BU56:BV56)</f>
        <v/>
      </c>
    </row>
    <row r="57">
      <c r="A57" s="5" t="inlineStr">
        <is>
          <t>cyram 인용</t>
        </is>
      </c>
      <c r="B57" s="5" t="inlineStr">
        <is>
          <t>Siudak, D</t>
        </is>
      </c>
      <c r="C57" s="5" t="inlineStr"/>
      <c r="D57" s="5" t="inlineStr"/>
      <c r="E57" s="5" t="inlineStr"/>
      <c r="F57" s="5" t="inlineStr">
        <is>
          <t>Siudak, Dariusz</t>
        </is>
      </c>
      <c r="G57" s="5" t="inlineStr"/>
      <c r="H57" s="5" t="inlineStr"/>
      <c r="I57" s="5" t="inlineStr">
        <is>
          <t>Cohesion and segregation in the value migration network: Evidence from network partitioning based on sector classification and clustering</t>
        </is>
      </c>
      <c r="J57" s="5" t="inlineStr">
        <is>
          <t>SOCIAL NETWORK ANALYSIS AND MINING</t>
        </is>
      </c>
      <c r="K57" s="5" t="inlineStr"/>
      <c r="L57" s="5" t="inlineStr"/>
      <c r="M57" s="5" t="inlineStr"/>
      <c r="N57" s="5" t="inlineStr">
        <is>
          <t>Article</t>
        </is>
      </c>
      <c r="O57" s="5" t="inlineStr"/>
      <c r="P57" s="5" t="inlineStr"/>
      <c r="Q57" s="5" t="inlineStr"/>
      <c r="R57" s="5" t="inlineStr"/>
      <c r="S57" s="5" t="inlineStr"/>
      <c r="T57" s="5" t="inlineStr"/>
      <c r="U57" s="5" t="inlineStr"/>
      <c r="V57" s="5" t="inlineStr">
        <is>
          <t>Cluster structure detection of the network is a basic problem of complex network analysis. This study investigates the structure of the value migration network using data from 499 stocks listed in the S&amp;P500 as of the end of 2021. An examination is carried out whether the process of value migration creates a cluster structure in the network of companies according to economic activity. Specifically, the cohesion and segregation of the extracted modules in the network division according to (i) sector classification, (ii) community division, and (iii) network clustering decomposition are assessed. The results of this study show that the sector classification of the value migration network has a non-cohesive structure, which means that the flow of value in the financial market occurs between companies from various industries. Moreover, the divisions of the value migration network based on community detection and clustering algorithm are characterized by intra-cluster similarity between the vertices and have a strong community structure. The structure of the network division into modules corresponding to the classification of economic sectors differs significantly from the partition based on the algorithms applied.</t>
        </is>
      </c>
      <c r="W57" s="5" t="inlineStr">
        <is>
          <t>[Siudak, Dariusz] Lodz Univ Technol, Inst Management, Wolczanska 221, PL-93005 Lodz, Poland</t>
        </is>
      </c>
      <c r="X57" s="5" t="inlineStr"/>
      <c r="Y57" s="5" t="inlineStr">
        <is>
          <t>Siudak, D (corresponding author), Lodz Univ Technol, Inst Management, Wolczanska 221, PL-93005 Lodz, Poland.</t>
        </is>
      </c>
      <c r="Z57" s="5" t="inlineStr">
        <is>
          <t>dariusz.siudak@p.lodz.pl</t>
        </is>
      </c>
      <c r="AA57" s="5" t="inlineStr"/>
      <c r="AB57" s="5" t="inlineStr"/>
      <c r="AC57" s="5" t="inlineStr"/>
      <c r="AD57" s="5" t="inlineStr"/>
      <c r="AE57" s="5" t="inlineStr"/>
      <c r="AF57" s="5" t="inlineStr"/>
      <c r="AG57" s="5" t="n">
        <v>96</v>
      </c>
      <c r="AH57" s="5" t="n">
        <v>0</v>
      </c>
      <c r="AI57" s="5" t="n">
        <v>0</v>
      </c>
      <c r="AJ57" s="5" t="inlineStr"/>
      <c r="AK57" s="5" t="inlineStr"/>
      <c r="AL57" s="5" t="inlineStr"/>
      <c r="AM57" s="5" t="inlineStr"/>
      <c r="AN57" s="5" t="inlineStr"/>
      <c r="AO57" s="5" t="inlineStr"/>
      <c r="AP57" s="5" t="inlineStr"/>
      <c r="AQ57" s="5" t="inlineStr"/>
      <c r="AR57" s="5" t="inlineStr"/>
      <c r="AS57" s="5" t="inlineStr"/>
      <c r="AT57" s="5" t="inlineStr">
        <is>
          <t>JAN 19</t>
        </is>
      </c>
      <c r="AU57" s="5" t="n">
        <v>2023</v>
      </c>
      <c r="AV57" s="5" t="n">
        <v>13</v>
      </c>
      <c r="AW57" s="5" t="n">
        <v>1</v>
      </c>
      <c r="AX57" s="5" t="inlineStr"/>
      <c r="AY57" s="5" t="inlineStr"/>
      <c r="AZ57" s="5" t="inlineStr"/>
      <c r="BA57" s="5" t="inlineStr"/>
      <c r="BB57" s="5" t="inlineStr"/>
      <c r="BC57" s="5" t="inlineStr"/>
      <c r="BD57" s="5" t="n">
        <v>26</v>
      </c>
      <c r="BE57" s="5" t="inlineStr">
        <is>
          <t>10.1007/s13278-023-01027-6</t>
        </is>
      </c>
      <c r="BF57" s="5" t="n">
        <v>0</v>
      </c>
      <c r="BG57" s="5" t="inlineStr"/>
      <c r="BH57" s="5" t="inlineStr"/>
      <c r="BI57" s="5" t="inlineStr"/>
      <c r="BJ57" s="5" t="inlineStr"/>
      <c r="BK57" s="5" t="inlineStr"/>
      <c r="BL57" s="5" t="inlineStr"/>
      <c r="BM57" s="5" t="inlineStr"/>
      <c r="BN57" s="5" t="inlineStr"/>
      <c r="BO57" s="5" t="inlineStr"/>
      <c r="BP57" s="5" t="inlineStr"/>
      <c r="BQ57" s="5" t="inlineStr"/>
      <c r="BR57" s="5" t="inlineStr">
        <is>
          <t>2026-05-29</t>
        </is>
      </c>
      <c r="BS57" s="5" t="inlineStr">
        <is>
          <t>WOS:000913466800001</t>
        </is>
      </c>
      <c r="BT57" s="5" t="n">
        <v>0</v>
      </c>
      <c r="BU57">
        <f>COUNTIF('오픈소스&amp;직접수집'!F:F,'wos(corecollection)_260528'!BE57)</f>
        <v/>
      </c>
      <c r="BV57">
        <f>COUNTIF('오픈소스&amp;직접수집'!A:A,'wos(corecollection)_260528'!I57)</f>
        <v/>
      </c>
      <c r="BW57">
        <f>SUM(BU57:BV57)</f>
        <v/>
      </c>
    </row>
    <row r="58">
      <c r="A58" s="5" t="inlineStr">
        <is>
          <t>cyram 인용</t>
        </is>
      </c>
      <c r="B58" s="5" t="inlineStr">
        <is>
          <t>Siudak, D</t>
        </is>
      </c>
      <c r="C58" s="5" t="inlineStr"/>
      <c r="D58" s="5" t="inlineStr"/>
      <c r="E58" s="5" t="inlineStr"/>
      <c r="F58" s="5" t="inlineStr">
        <is>
          <t>Siudak, Dariusz</t>
        </is>
      </c>
      <c r="G58" s="5" t="inlineStr"/>
      <c r="H58" s="5" t="inlineStr"/>
      <c r="I58" s="5" t="inlineStr">
        <is>
          <t>The effect of self-organizing map architecture based on the value migration network centrality measures on stock return. Evidence from the US market</t>
        </is>
      </c>
      <c r="J58" s="5" t="inlineStr">
        <is>
          <t>PLOS ONE</t>
        </is>
      </c>
      <c r="K58" s="5" t="inlineStr"/>
      <c r="L58" s="5" t="inlineStr"/>
      <c r="M58" s="5" t="inlineStr"/>
      <c r="N58" s="5" t="inlineStr">
        <is>
          <t>Article</t>
        </is>
      </c>
      <c r="O58" s="5" t="inlineStr"/>
      <c r="P58" s="5" t="inlineStr"/>
      <c r="Q58" s="5" t="inlineStr"/>
      <c r="R58" s="5" t="inlineStr"/>
      <c r="S58" s="5" t="inlineStr"/>
      <c r="T58" s="5" t="inlineStr"/>
      <c r="U58" s="5" t="inlineStr"/>
      <c r="V58" s="5" t="inlineStr">
        <is>
          <t>Complex financial systems are the subject of current research interest. The notion of complex network is used for understanding the value migration process. Based on the stock data of 498 companies listed in the S&amp;P500, the value migration network has been constructed using the MST-Pathfinder filtering network approach. The analysis covered 471 companies included in the largest component of VMN. Three methods: (i) complex networks; (ii) artificial neural networks and (iii) MARS regression, are developed to determine the effect of network centrality measures and rate of return on shares. A network-based data mining analysis has revealed that the topological position in the value migration network has a pronounced impact on the stock's returns.</t>
        </is>
      </c>
      <c r="W58" s="5" t="inlineStr">
        <is>
          <t>[Siudak, Dariusz] Lodz Univ Technol, Inst Management, Lodz, Poland</t>
        </is>
      </c>
      <c r="X58" s="5" t="inlineStr"/>
      <c r="Y58" s="5" t="inlineStr">
        <is>
          <t>Siudak, D (corresponding author), Lodz Univ Technol, Inst Management, Lodz, Poland.</t>
        </is>
      </c>
      <c r="Z58" s="5" t="inlineStr">
        <is>
          <t>dariusz.siudak@p.lodz.pl</t>
        </is>
      </c>
      <c r="AA58" s="5" t="inlineStr"/>
      <c r="AB58" s="5" t="inlineStr"/>
      <c r="AC58" s="5" t="inlineStr"/>
      <c r="AD58" s="5" t="inlineStr"/>
      <c r="AE58" s="5" t="inlineStr"/>
      <c r="AF58" s="5" t="inlineStr"/>
      <c r="AG58" s="5" t="n">
        <v>110</v>
      </c>
      <c r="AH58" s="5" t="n">
        <v>6</v>
      </c>
      <c r="AI58" s="5" t="n">
        <v>6</v>
      </c>
      <c r="AJ58" s="5" t="inlineStr"/>
      <c r="AK58" s="5" t="inlineStr"/>
      <c r="AL58" s="5" t="inlineStr"/>
      <c r="AM58" s="5" t="inlineStr"/>
      <c r="AN58" s="5" t="inlineStr"/>
      <c r="AO58" s="5" t="inlineStr"/>
      <c r="AP58" s="5" t="inlineStr"/>
      <c r="AQ58" s="5" t="inlineStr"/>
      <c r="AR58" s="5" t="inlineStr"/>
      <c r="AS58" s="5" t="inlineStr"/>
      <c r="AT58" s="5" t="inlineStr">
        <is>
          <t>NOV 1</t>
        </is>
      </c>
      <c r="AU58" s="5" t="n">
        <v>2022</v>
      </c>
      <c r="AV58" s="5" t="n">
        <v>17</v>
      </c>
      <c r="AW58" s="5" t="n">
        <v>11</v>
      </c>
      <c r="AX58" s="5" t="inlineStr"/>
      <c r="AY58" s="5" t="inlineStr"/>
      <c r="AZ58" s="5" t="inlineStr"/>
      <c r="BA58" s="5" t="inlineStr"/>
      <c r="BB58" s="5" t="inlineStr"/>
      <c r="BC58" s="5" t="inlineStr"/>
      <c r="BD58" s="5" t="inlineStr">
        <is>
          <t>e0276567</t>
        </is>
      </c>
      <c r="BE58" s="5" t="inlineStr">
        <is>
          <t>10.1371/journal.pone.0276567</t>
        </is>
      </c>
      <c r="BF58" s="5" t="n">
        <v>0</v>
      </c>
      <c r="BG58" s="5" t="inlineStr"/>
      <c r="BH58" s="5" t="inlineStr"/>
      <c r="BI58" s="5" t="inlineStr"/>
      <c r="BJ58" s="5" t="inlineStr"/>
      <c r="BK58" s="5" t="inlineStr"/>
      <c r="BL58" s="5" t="inlineStr"/>
      <c r="BM58" s="5" t="inlineStr"/>
      <c r="BN58" s="5" t="inlineStr"/>
      <c r="BO58" s="5" t="inlineStr"/>
      <c r="BP58" s="5" t="inlineStr"/>
      <c r="BQ58" s="5" t="inlineStr"/>
      <c r="BR58" s="5" t="inlineStr">
        <is>
          <t>2026-05-29</t>
        </is>
      </c>
      <c r="BS58" s="5" t="inlineStr">
        <is>
          <t>WOS:000924698600014</t>
        </is>
      </c>
      <c r="BT58" s="5" t="n">
        <v>0</v>
      </c>
      <c r="BU58">
        <f>COUNTIF('오픈소스&amp;직접수집'!F:F,'wos(corecollection)_260528'!BE58)</f>
        <v/>
      </c>
      <c r="BV58">
        <f>COUNTIF('오픈소스&amp;직접수집'!A:A,'wos(corecollection)_260528'!I58)</f>
        <v/>
      </c>
      <c r="BW58">
        <f>SUM(BU58:BV58)</f>
        <v/>
      </c>
    </row>
    <row r="59">
      <c r="A59" s="5" t="inlineStr">
        <is>
          <t>cyram 인용</t>
        </is>
      </c>
      <c r="B59" s="5" t="inlineStr">
        <is>
          <t>Kim, D; Choi, YR; Lee, YN; Park, WH; Chang, SO</t>
        </is>
      </c>
      <c r="C59" s="5" t="inlineStr"/>
      <c r="D59" s="5" t="inlineStr"/>
      <c r="E59" s="5" t="inlineStr"/>
      <c r="F59" s="5" t="inlineStr">
        <is>
          <t>Kim, Dayeong; Choi, Young-Rim; Lee, Ye-Na; Park, Won-Hee; Chang, Sung-Ok</t>
        </is>
      </c>
      <c r="G59" s="5" t="inlineStr"/>
      <c r="H59" s="5" t="inlineStr"/>
      <c r="I59" s="5" t="inlineStr">
        <is>
          <t>How about an Educational Framework for Nursing Staff in Long-Term Care Facilities to Improve the Care of Behavioral and Psychological Symptoms of Dementia?</t>
        </is>
      </c>
      <c r="J59" s="5" t="inlineStr">
        <is>
          <t>INTERNATIONAL JOURNAL OF ENVIRONMENTAL RESEARCH AND PUBLIC HEALTH</t>
        </is>
      </c>
      <c r="K59" s="5" t="inlineStr"/>
      <c r="L59" s="5" t="inlineStr"/>
      <c r="M59" s="5" t="inlineStr"/>
      <c r="N59" s="5" t="inlineStr">
        <is>
          <t>Article</t>
        </is>
      </c>
      <c r="O59" s="5" t="inlineStr"/>
      <c r="P59" s="5" t="inlineStr"/>
      <c r="Q59" s="5" t="inlineStr"/>
      <c r="R59" s="5" t="inlineStr"/>
      <c r="S59" s="5" t="inlineStr"/>
      <c r="T59" s="5" t="inlineStr"/>
      <c r="U59" s="5" t="inlineStr"/>
      <c r="V59" s="5" t="inlineStr">
        <is>
          <t>Behavioral and psychological symptoms of dementia (BPSD) are common in residents of long-term care facilities (LTCFs). In LTCFs, nursing staff, including nurses and care workers, play a crucial role in managing BPSD as those most in contact with the residents. However, it is ambiguous where their focus should be for effective BPSD care. Thus, this paper aims to reveal BPSD care competencies for nursing staff in LTCFs and to outline an initial frame of education. A multiphase mixed-methods approach, which was conducted through topic modeling, qualitative interviews, and a Delphi survey, was used. From the results, a preliminary educational framework for nursing staff with categories of BPSD care competence was outlined with the four categories of BPSD care competence: using knowledge for assessment and monitoring the status of residents, individualizing approaches on how to understand residents and address BPSD, building relationships for shared decision-making, and securing a safe environment for residents and staff in LTCFs. This preliminary framework illuminates specific domains that need to be developed for competent BPSD care in LTCFs that are centered on nursing staff who directly assess and monitor the changing and deteriorating state of residents in LTCFs.</t>
        </is>
      </c>
      <c r="W59" s="5" t="inlineStr">
        <is>
          <t>[Kim, Dayeong; Choi, Young-Rim; Park, Won-Hee; Chang, Sung-Ok] Korea Univ, Coll Nursing, Seoul 02841, South Korea; [Kim, Dayeong; Chang, Sung-Ok] Korea Univ, Four R&amp;E Ctr Learning Hlth Syst BK21, Seoul 02841, South Korea; [Lee, Ye-Na] Univ Suwon, Dept Nursing, Hwaseong 18323, South Korea</t>
        </is>
      </c>
      <c r="X59" s="5" t="inlineStr"/>
      <c r="Y59" s="5" t="inlineStr">
        <is>
          <t>Chang, SO (corresponding author), Korea Univ, Coll Nursing, Seoul 02841, South Korea.;Chang, SO (corresponding author), Korea Univ, Four R&amp;E Ctr Learning Hlth Syst BK21, Seoul 02841, South Korea.</t>
        </is>
      </c>
      <c r="Z59" s="5" t="inlineStr">
        <is>
          <t>sungok@korea.ac.kr</t>
        </is>
      </c>
      <c r="AA59" s="5" t="inlineStr"/>
      <c r="AB59" s="5" t="inlineStr"/>
      <c r="AC59" s="5" t="inlineStr"/>
      <c r="AD59" s="5" t="inlineStr"/>
      <c r="AE59" s="5" t="inlineStr"/>
      <c r="AF59" s="5" t="inlineStr"/>
      <c r="AG59" s="5" t="n">
        <v>45</v>
      </c>
      <c r="AH59" s="5" t="n">
        <v>9</v>
      </c>
      <c r="AI59" s="5" t="n">
        <v>11</v>
      </c>
      <c r="AJ59" s="5" t="inlineStr"/>
      <c r="AK59" s="5" t="inlineStr"/>
      <c r="AL59" s="5" t="inlineStr"/>
      <c r="AM59" s="5" t="inlineStr"/>
      <c r="AN59" s="5" t="inlineStr"/>
      <c r="AO59" s="5" t="inlineStr"/>
      <c r="AP59" s="5" t="inlineStr"/>
      <c r="AQ59" s="5" t="inlineStr"/>
      <c r="AR59" s="5" t="inlineStr"/>
      <c r="AS59" s="5" t="inlineStr"/>
      <c r="AT59" s="5" t="inlineStr">
        <is>
          <t>SEP</t>
        </is>
      </c>
      <c r="AU59" s="5" t="n">
        <v>2022</v>
      </c>
      <c r="AV59" s="5" t="n">
        <v>19</v>
      </c>
      <c r="AW59" s="5" t="n">
        <v>17</v>
      </c>
      <c r="AX59" s="5" t="inlineStr"/>
      <c r="AY59" s="5" t="inlineStr"/>
      <c r="AZ59" s="5" t="inlineStr"/>
      <c r="BA59" s="5" t="inlineStr"/>
      <c r="BB59" s="5" t="inlineStr"/>
      <c r="BC59" s="5" t="inlineStr"/>
      <c r="BD59" s="5" t="n">
        <v>10493</v>
      </c>
      <c r="BE59" s="5" t="inlineStr">
        <is>
          <t>10.3390/ijerph191710493</t>
        </is>
      </c>
      <c r="BF59" s="5" t="n">
        <v>0</v>
      </c>
      <c r="BG59" s="5" t="inlineStr"/>
      <c r="BH59" s="5" t="inlineStr"/>
      <c r="BI59" s="5" t="inlineStr"/>
      <c r="BJ59" s="5" t="inlineStr"/>
      <c r="BK59" s="5" t="inlineStr"/>
      <c r="BL59" s="5" t="inlineStr"/>
      <c r="BM59" s="5" t="inlineStr"/>
      <c r="BN59" s="5" t="inlineStr"/>
      <c r="BO59" s="5" t="inlineStr"/>
      <c r="BP59" s="5" t="inlineStr"/>
      <c r="BQ59" s="5" t="inlineStr"/>
      <c r="BR59" s="5" t="inlineStr">
        <is>
          <t>2026-05-29</t>
        </is>
      </c>
      <c r="BS59" s="5" t="inlineStr">
        <is>
          <t>WOS:000851177900001</t>
        </is>
      </c>
      <c r="BT59" s="5" t="n">
        <v>0</v>
      </c>
      <c r="BU59">
        <f>COUNTIF('오픈소스&amp;직접수집'!F:F,'wos(corecollection)_260528'!BE59)</f>
        <v/>
      </c>
      <c r="BV59">
        <f>COUNTIF('오픈소스&amp;직접수집'!A:A,'wos(corecollection)_260528'!I59)</f>
        <v/>
      </c>
      <c r="BW59">
        <f>SUM(BU59:BV59)</f>
        <v/>
      </c>
    </row>
    <row r="60">
      <c r="A60" s="5" t="inlineStr">
        <is>
          <t>cyram 인용</t>
        </is>
      </c>
      <c r="B60" s="5" t="inlineStr">
        <is>
          <t>Bae, EJ; Jang, AR; Park, H; Yoon, JY</t>
        </is>
      </c>
      <c r="C60" s="5" t="inlineStr"/>
      <c r="D60" s="5" t="inlineStr"/>
      <c r="E60" s="5" t="inlineStr"/>
      <c r="F60" s="5" t="inlineStr">
        <is>
          <t>Bae, Eun Jung; Jang, Ah. Ram; Park, Hyena; Yoon, Ju Young</t>
        </is>
      </c>
      <c r="G60" s="5" t="inlineStr"/>
      <c r="H60" s="5" t="inlineStr"/>
      <c r="I60" s="5" t="inlineStr">
        <is>
          <t>Investigating knowledge structure and research trends in child and adolescent health literacy research through network text analysis</t>
        </is>
      </c>
      <c r="J60" s="5" t="inlineStr">
        <is>
          <t>JOURNAL OF PEDIATRIC NURSING-NURSING CARE OF CHILDREN &amp; FAMILIES</t>
        </is>
      </c>
      <c r="K60" s="5" t="inlineStr"/>
      <c r="L60" s="5" t="inlineStr"/>
      <c r="M60" s="5" t="inlineStr"/>
      <c r="N60" s="5" t="inlineStr">
        <is>
          <t>Article</t>
        </is>
      </c>
      <c r="O60" s="5" t="inlineStr"/>
      <c r="P60" s="5" t="inlineStr"/>
      <c r="Q60" s="5" t="inlineStr"/>
      <c r="R60" s="5" t="inlineStr"/>
      <c r="S60" s="5" t="inlineStr"/>
      <c r="T60" s="5" t="inlineStr"/>
      <c r="U60" s="5" t="inlineStr"/>
      <c r="V60" s="5" t="inlineStr">
        <is>
          <t>Purpose: This study aims to investigate the knowledge structure and research trends in child and adolescent health literacy research over the past 30 years by using network text analysis.Method: The study was conducted in four steps: 1) collecting abstracts, 2) keyword extraction and preprocessing, 3) creation of co-occurrence matrix, and 4) text network analysis.Results: As a result of the centrality analysis, the upper-ranked core keywords were health care, health behav-ior, prevention, treatment, and health promotion. In contrast to earlier times, barrier, caregiver, school setting, and QOL have recently emerged as core keywords.Conclusions: Over the past 30 years, child and adolescent health literacy has been importantly addressed in both clinical and public health approaches. The results of the current study provide references for future research in child and adolescent health literacy. Implication for practice and research: This study suggests the need for additional research on school-based prac-tices that can improve health literacy and for identifying validated and reliable multidimensional health literacy assessment instruments.(c) 2022 Elsevier Inc. All rights reserved.</t>
        </is>
      </c>
      <c r="W60" s="5" t="inlineStr">
        <is>
          <t>[Bae, Eun Jung; Jang, Ah. Ram; Park, Hyena; Yoon, Ju Young] Seoul Natl Univ, Coll Nursing, Seoul, South Korea; [Yoon, Ju Young] Seoul Natl Univ, Res Inst Nursing Sci, Seoul, South Korea; [Yoon, Ju Young] Seoul Natl Univ, Coll Nursing, Ctr Human Caring Nurse Leaders Future Brain Korea, Seoul, South Korea; [Yoon, Ju Young] Seoul Natl Univ, Coll Nursing, 103 Daehak Ro, Seoul 03080, South Korea</t>
        </is>
      </c>
      <c r="X60" s="5" t="inlineStr"/>
      <c r="Y60" s="5" t="inlineStr">
        <is>
          <t>Yoon, JY (corresponding author), Seoul Natl Univ, Coll Nursing, 103 Daehak Ro, Seoul 03080, South Korea.</t>
        </is>
      </c>
      <c r="Z60" s="5" t="inlineStr">
        <is>
          <t>yoon26@snu.ac.kr</t>
        </is>
      </c>
      <c r="AA60" s="5" t="inlineStr"/>
      <c r="AB60" s="5" t="inlineStr"/>
      <c r="AC60" s="5" t="inlineStr"/>
      <c r="AD60" s="5" t="inlineStr"/>
      <c r="AE60" s="5" t="inlineStr"/>
      <c r="AF60" s="5" t="inlineStr"/>
      <c r="AG60" s="5" t="n">
        <v>49</v>
      </c>
      <c r="AH60" s="5" t="n">
        <v>2</v>
      </c>
      <c r="AI60" s="5" t="n">
        <v>2</v>
      </c>
      <c r="AJ60" s="5" t="inlineStr"/>
      <c r="AK60" s="5" t="inlineStr"/>
      <c r="AL60" s="5" t="inlineStr"/>
      <c r="AM60" s="5" t="inlineStr"/>
      <c r="AN60" s="5" t="inlineStr"/>
      <c r="AO60" s="5" t="inlineStr"/>
      <c r="AP60" s="5" t="inlineStr"/>
      <c r="AQ60" s="5" t="inlineStr"/>
      <c r="AR60" s="5" t="inlineStr"/>
      <c r="AS60" s="5" t="inlineStr"/>
      <c r="AT60" s="5" t="inlineStr">
        <is>
          <t>NOV-DEC</t>
        </is>
      </c>
      <c r="AU60" s="5" t="n">
        <v>2022</v>
      </c>
      <c r="AV60" s="5" t="n">
        <v>67</v>
      </c>
      <c r="AW60" s="5" t="inlineStr"/>
      <c r="AX60" s="5" t="inlineStr"/>
      <c r="AY60" s="5" t="inlineStr"/>
      <c r="AZ60" s="5" t="inlineStr"/>
      <c r="BA60" s="5" t="inlineStr"/>
      <c r="BB60" s="5" t="n">
        <v>57</v>
      </c>
      <c r="BC60" s="5" t="n">
        <v>63</v>
      </c>
      <c r="BD60" s="5" t="inlineStr"/>
      <c r="BE60" s="5" t="inlineStr">
        <is>
          <t>10.1016/j.pedn.2022.08.001</t>
        </is>
      </c>
      <c r="BF60" s="5" t="n">
        <v>0</v>
      </c>
      <c r="BG60" s="5" t="inlineStr"/>
      <c r="BH60" s="5" t="inlineStr">
        <is>
          <t>AUG 2022</t>
        </is>
      </c>
      <c r="BI60" s="5" t="inlineStr"/>
      <c r="BJ60" s="5" t="inlineStr"/>
      <c r="BK60" s="5" t="inlineStr"/>
      <c r="BL60" s="5" t="inlineStr"/>
      <c r="BM60" s="5" t="inlineStr"/>
      <c r="BN60" s="5" t="inlineStr"/>
      <c r="BO60" s="5" t="inlineStr"/>
      <c r="BP60" s="5" t="inlineStr"/>
      <c r="BQ60" s="5" t="inlineStr"/>
      <c r="BR60" s="5" t="inlineStr">
        <is>
          <t>2026-05-29</t>
        </is>
      </c>
      <c r="BS60" s="5" t="inlineStr">
        <is>
          <t>WOS:000841576500004</t>
        </is>
      </c>
      <c r="BT60" s="5" t="n">
        <v>0</v>
      </c>
      <c r="BU60">
        <f>COUNTIF('오픈소스&amp;직접수집'!F:F,'wos(corecollection)_260528'!BE60)</f>
        <v/>
      </c>
      <c r="BV60">
        <f>COUNTIF('오픈소스&amp;직접수집'!A:A,'wos(corecollection)_260528'!I60)</f>
        <v/>
      </c>
      <c r="BW60">
        <f>SUM(BU60:BV60)</f>
        <v/>
      </c>
    </row>
    <row r="61">
      <c r="A61" s="5" t="inlineStr">
        <is>
          <t>cyram 인용</t>
        </is>
      </c>
      <c r="B61" s="5" t="inlineStr">
        <is>
          <t>Park, MY; Jeong, SH; Kim, HS; Lee, EJ</t>
        </is>
      </c>
      <c r="C61" s="5" t="inlineStr"/>
      <c r="D61" s="5" t="inlineStr"/>
      <c r="E61" s="5" t="inlineStr"/>
      <c r="F61" s="5" t="inlineStr">
        <is>
          <t>Park, Min Young; Jeong, Seok Hee; Kim, Hee Sun; Lee, Eun Jee</t>
        </is>
      </c>
      <c r="G61" s="5" t="inlineStr"/>
      <c r="H61" s="5" t="inlineStr"/>
      <c r="I61" s="5" t="inlineStr">
        <is>
          <t>Images of Nurses Appeared in Media Reports Before and After Outbreak of COVID-19: Text Network Analysis and Topic Modeling</t>
        </is>
      </c>
      <c r="J61" s="5" t="inlineStr">
        <is>
          <t>JOURNAL OF KOREAN ACADEMY OF NURSING</t>
        </is>
      </c>
      <c r="K61" s="5" t="inlineStr"/>
      <c r="L61" s="5" t="inlineStr"/>
      <c r="M61" s="5" t="inlineStr"/>
      <c r="N61" s="5" t="inlineStr">
        <is>
          <t>Article; Proceedings Paper</t>
        </is>
      </c>
      <c r="O61" s="5" t="inlineStr">
        <is>
          <t>Yonsei International Nursing Conference</t>
        </is>
      </c>
      <c r="P61" s="5" t="inlineStr">
        <is>
          <t>NOV, 2021</t>
        </is>
      </c>
      <c r="Q61" s="5" t="inlineStr">
        <is>
          <t>Seoul, SOUTH KOREA</t>
        </is>
      </c>
      <c r="R61" s="5" t="inlineStr"/>
      <c r="S61" s="5" t="inlineStr"/>
      <c r="T61" s="5" t="inlineStr"/>
      <c r="U61" s="5" t="inlineStr"/>
      <c r="V61" s="5" t="inlineStr">
        <is>
          <t>Purpose: The aims of study were to identify the main keywords, the network structure, and the main topics of press articles related to nurses that have appeared in media reports. Methods: Data were media articles related to the topic nurse reported in 16 central media within a one-year period spanning July 1, 2019 to June 30, 2020. Data were collected from the Big Kinds database. A total of 7,800 articles were searched, and 1,038 were used for the final analysis. Text network analysis and topic modeling were performed using NetMiner 4.4. Results: The number of media reports related to nurses increased by 3.86 times after the novel coronavirus (COVID-19) outbreak compared to prior. Pre- and post-COVID-19 network characteristics were density 0.002, 0.001; average degree 4.63, 4.92; and average distance 4.25, 4.01, respectively. Four topics were derived before and after the COVID-19 outbreak, respectively. Pre-COVID-19 example topics are a nurse who committed suicide because she could not withstand the Taewoom at work and a nurse as a perpetrator of a newborn abuse case, while post-COVID-19 examples are a nurse as a victim of COVID-19, a nurse working with the support of the people, and a nurse as a top contributor and a warrior to protect from COVID-19. Conclusion: Topic modeling shows that topics become more positive after the COVID-19 outbreak. Individual nurses and nursing organizations should continuously monitor and conduct further research on nurses' image.</t>
        </is>
      </c>
      <c r="W61" s="5" t="inlineStr">
        <is>
          <t>[Park, Min Young] Jeonbuk Natl Univ Hosp, Dept Nursing, Jeonju, South Korea; [Jeong, Seok Hee; Kim, Hee Sun; Lee, Eun Jee] Jeonbuk Natl Univ, Res Inst Nursing Sci, Coll Nursing, 567 Baekje Daero, Jeonju 54896, South Korea</t>
        </is>
      </c>
      <c r="X61" s="5" t="inlineStr"/>
      <c r="Y61" s="5" t="inlineStr">
        <is>
          <t>Jeong, SH (corresponding author), Jeonbuk Natl Univ, Res Inst Nursing Sci, Coll Nursing, 567 Baekje Daero, Jeonju 54896, South Korea.</t>
        </is>
      </c>
      <c r="Z61" s="5" t="inlineStr">
        <is>
          <t>awesomeprof@jbnu.ac.kr</t>
        </is>
      </c>
      <c r="AA61" s="5" t="inlineStr"/>
      <c r="AB61" s="5" t="inlineStr"/>
      <c r="AC61" s="5" t="inlineStr"/>
      <c r="AD61" s="5" t="inlineStr"/>
      <c r="AE61" s="5" t="inlineStr"/>
      <c r="AF61" s="5" t="inlineStr"/>
      <c r="AG61" s="5" t="n">
        <v>53</v>
      </c>
      <c r="AH61" s="5" t="n">
        <v>11</v>
      </c>
      <c r="AI61" s="5" t="n">
        <v>15</v>
      </c>
      <c r="AJ61" s="5" t="inlineStr"/>
      <c r="AK61" s="5" t="inlineStr"/>
      <c r="AL61" s="5" t="inlineStr"/>
      <c r="AM61" s="5" t="inlineStr"/>
      <c r="AN61" s="5" t="inlineStr"/>
      <c r="AO61" s="5" t="inlineStr"/>
      <c r="AP61" s="5" t="inlineStr"/>
      <c r="AQ61" s="5" t="inlineStr"/>
      <c r="AR61" s="5" t="inlineStr"/>
      <c r="AS61" s="5" t="inlineStr"/>
      <c r="AT61" s="5" t="inlineStr">
        <is>
          <t>JUN</t>
        </is>
      </c>
      <c r="AU61" s="5" t="n">
        <v>2022</v>
      </c>
      <c r="AV61" s="5" t="n">
        <v>52</v>
      </c>
      <c r="AW61" s="5" t="n">
        <v>3</v>
      </c>
      <c r="AX61" s="5" t="inlineStr"/>
      <c r="AY61" s="5" t="inlineStr"/>
      <c r="AZ61" s="5" t="inlineStr"/>
      <c r="BA61" s="5" t="inlineStr"/>
      <c r="BB61" s="5" t="n">
        <v>291</v>
      </c>
      <c r="BC61" s="5" t="n">
        <v>307</v>
      </c>
      <c r="BD61" s="5" t="inlineStr"/>
      <c r="BE61" s="5" t="inlineStr">
        <is>
          <t>10.4040/jkan.22002</t>
        </is>
      </c>
      <c r="BF61" s="5" t="n">
        <v>0</v>
      </c>
      <c r="BG61" s="5" t="inlineStr"/>
      <c r="BH61" s="5" t="inlineStr"/>
      <c r="BI61" s="5" t="inlineStr"/>
      <c r="BJ61" s="5" t="inlineStr"/>
      <c r="BK61" s="5" t="inlineStr"/>
      <c r="BL61" s="5" t="inlineStr"/>
      <c r="BM61" s="5" t="inlineStr"/>
      <c r="BN61" s="5" t="inlineStr"/>
      <c r="BO61" s="5" t="inlineStr"/>
      <c r="BP61" s="5" t="inlineStr"/>
      <c r="BQ61" s="5" t="inlineStr"/>
      <c r="BR61" s="5" t="inlineStr">
        <is>
          <t>2026-05-29</t>
        </is>
      </c>
      <c r="BS61" s="5" t="inlineStr">
        <is>
          <t>WOS:000819133000004</t>
        </is>
      </c>
      <c r="BT61" s="5" t="n">
        <v>0</v>
      </c>
      <c r="BU61">
        <f>COUNTIF('오픈소스&amp;직접수집'!F:F,'wos(corecollection)_260528'!BE61)</f>
        <v/>
      </c>
      <c r="BV61">
        <f>COUNTIF('오픈소스&amp;직접수집'!A:A,'wos(corecollection)_260528'!I61)</f>
        <v/>
      </c>
      <c r="BW61">
        <f>SUM(BU61:BV61)</f>
        <v/>
      </c>
    </row>
    <row r="62">
      <c r="A62" s="5" t="inlineStr">
        <is>
          <t>cyram 인용</t>
        </is>
      </c>
      <c r="B62" s="5" t="inlineStr">
        <is>
          <t>Siudak, D</t>
        </is>
      </c>
      <c r="C62" s="5" t="inlineStr"/>
      <c r="D62" s="5" t="inlineStr"/>
      <c r="E62" s="5" t="inlineStr"/>
      <c r="F62" s="5" t="inlineStr">
        <is>
          <t>Siudak, Dariusz</t>
        </is>
      </c>
      <c r="G62" s="5" t="inlineStr"/>
      <c r="H62" s="5" t="inlineStr"/>
      <c r="I62" s="5" t="inlineStr">
        <is>
          <t>A network analysis of the value migration process on the financial market. The effect of value migration network structure on stock returns</t>
        </is>
      </c>
      <c r="J62" s="5" t="inlineStr">
        <is>
          <t>EXPERT SYSTEMS WITH APPLICATIONS</t>
        </is>
      </c>
      <c r="K62" s="5" t="inlineStr"/>
      <c r="L62" s="5" t="inlineStr"/>
      <c r="M62" s="5" t="inlineStr"/>
      <c r="N62" s="5" t="inlineStr">
        <is>
          <t>Article</t>
        </is>
      </c>
      <c r="O62" s="5" t="inlineStr"/>
      <c r="P62" s="5" t="inlineStr"/>
      <c r="Q62" s="5" t="inlineStr"/>
      <c r="R62" s="5" t="inlineStr"/>
      <c r="S62" s="5" t="inlineStr"/>
      <c r="T62" s="5" t="inlineStr"/>
      <c r="U62" s="5" t="inlineStr"/>
      <c r="V62" s="5" t="inlineStr">
        <is>
          <t>In this paper, I use the MST-Pathfinder approach to construct the value migration network and then analyze the network's topological properties. This is the first attempt to build a network that includes in its structure the process of enterprise value migration on the stock exchange. Based on data from companies listed in the US market in December 2019 and applying a rigorous approach I demonstrate that the in- and out-degree distributions follow a power-law model. The study also reveals that the value migration network presents a disassortative behavior. Furthermore, I show that the relationship between the company's central position in the value migration network and return on shares has a positive impact for companies in the inflow phase and a negative for companies in the outflow phase.</t>
        </is>
      </c>
      <c r="W62" s="5" t="inlineStr">
        <is>
          <t>[Siudak, Dariusz] Lodz Univ Technol, Inst Social Sci &amp; Management Technol, Wolczanska 225, Lodz, Poland</t>
        </is>
      </c>
      <c r="X62" s="5" t="inlineStr"/>
      <c r="Y62" s="5" t="inlineStr">
        <is>
          <t>Siudak, D (corresponding author), Lodz Univ Technol, Inst Social Sci &amp; Management Technol, Wolczanska 225, Lodz, Poland.</t>
        </is>
      </c>
      <c r="Z62" s="5" t="inlineStr">
        <is>
          <t>dariusz.siudak@p.lodz.pl</t>
        </is>
      </c>
      <c r="AA62" s="5" t="inlineStr"/>
      <c r="AB62" s="5" t="inlineStr"/>
      <c r="AC62" s="5" t="inlineStr"/>
      <c r="AD62" s="5" t="inlineStr"/>
      <c r="AE62" s="5" t="inlineStr"/>
      <c r="AF62" s="5" t="inlineStr"/>
      <c r="AG62" s="5" t="n">
        <v>96</v>
      </c>
      <c r="AH62" s="5" t="n">
        <v>11</v>
      </c>
      <c r="AI62" s="5" t="n">
        <v>13</v>
      </c>
      <c r="AJ62" s="5" t="inlineStr"/>
      <c r="AK62" s="5" t="inlineStr"/>
      <c r="AL62" s="5" t="inlineStr"/>
      <c r="AM62" s="5" t="inlineStr"/>
      <c r="AN62" s="5" t="inlineStr"/>
      <c r="AO62" s="5" t="inlineStr"/>
      <c r="AP62" s="5" t="inlineStr"/>
      <c r="AQ62" s="5" t="inlineStr"/>
      <c r="AR62" s="5" t="inlineStr"/>
      <c r="AS62" s="5" t="inlineStr"/>
      <c r="AT62" s="5" t="inlineStr">
        <is>
          <t>APR 1</t>
        </is>
      </c>
      <c r="AU62" s="5" t="n">
        <v>2022</v>
      </c>
      <c r="AV62" s="5" t="n">
        <v>191</v>
      </c>
      <c r="AW62" s="5" t="inlineStr"/>
      <c r="AX62" s="5" t="inlineStr"/>
      <c r="AY62" s="5" t="inlineStr"/>
      <c r="AZ62" s="5" t="inlineStr"/>
      <c r="BA62" s="5" t="inlineStr"/>
      <c r="BB62" s="5" t="inlineStr"/>
      <c r="BC62" s="5" t="inlineStr"/>
      <c r="BD62" s="5" t="n">
        <v>116129</v>
      </c>
      <c r="BE62" s="5" t="inlineStr">
        <is>
          <t>10.1016/j.eswa.2021.116129</t>
        </is>
      </c>
      <c r="BF62" s="5" t="n">
        <v>0</v>
      </c>
      <c r="BG62" s="5" t="inlineStr"/>
      <c r="BH62" s="5" t="inlineStr">
        <is>
          <t>DEC 2021</t>
        </is>
      </c>
      <c r="BI62" s="5" t="inlineStr"/>
      <c r="BJ62" s="5" t="inlineStr"/>
      <c r="BK62" s="5" t="inlineStr"/>
      <c r="BL62" s="5" t="inlineStr"/>
      <c r="BM62" s="5" t="inlineStr"/>
      <c r="BN62" s="5" t="inlineStr"/>
      <c r="BO62" s="5" t="inlineStr"/>
      <c r="BP62" s="5" t="inlineStr"/>
      <c r="BQ62" s="5" t="inlineStr"/>
      <c r="BR62" s="5" t="inlineStr">
        <is>
          <t>2026-05-29</t>
        </is>
      </c>
      <c r="BS62" s="5" t="inlineStr">
        <is>
          <t>WOS:000736173700003</t>
        </is>
      </c>
      <c r="BT62" s="5" t="n">
        <v>0</v>
      </c>
      <c r="BU62">
        <f>COUNTIF('오픈소스&amp;직접수집'!F:F,'wos(corecollection)_260528'!BE62)</f>
        <v/>
      </c>
      <c r="BV62">
        <f>COUNTIF('오픈소스&amp;직접수집'!A:A,'wos(corecollection)_260528'!I62)</f>
        <v/>
      </c>
      <c r="BW62">
        <f>SUM(BU62:BV62)</f>
        <v/>
      </c>
    </row>
    <row r="63">
      <c r="A63" s="5" t="inlineStr">
        <is>
          <t>cyram 인용</t>
        </is>
      </c>
      <c r="B63" s="5" t="inlineStr">
        <is>
          <t>Shin, S; Park, MS; Lee, H; Baral, H</t>
        </is>
      </c>
      <c r="C63" s="5" t="inlineStr"/>
      <c r="D63" s="5" t="inlineStr"/>
      <c r="E63" s="5" t="inlineStr"/>
      <c r="F63" s="5" t="inlineStr">
        <is>
          <t>Shin, Seongmin; Park, Mi Sun; Lee, Hansol; Baral, Himlal</t>
        </is>
      </c>
      <c r="G63" s="5" t="inlineStr"/>
      <c r="H63" s="5" t="inlineStr"/>
      <c r="I63" s="5" t="inlineStr">
        <is>
          <t>The structure and pattern of global partnerships in the REDD plus mechanism</t>
        </is>
      </c>
      <c r="J63" s="5" t="inlineStr">
        <is>
          <t>FOREST POLICY AND ECONOMICS</t>
        </is>
      </c>
      <c r="K63" s="5" t="inlineStr"/>
      <c r="L63" s="5" t="inlineStr"/>
      <c r="M63" s="5" t="inlineStr"/>
      <c r="N63" s="5" t="inlineStr">
        <is>
          <t>Article</t>
        </is>
      </c>
      <c r="O63" s="5" t="inlineStr"/>
      <c r="P63" s="5" t="inlineStr"/>
      <c r="Q63" s="5" t="inlineStr"/>
      <c r="R63" s="5" t="inlineStr"/>
      <c r="S63" s="5" t="inlineStr"/>
      <c r="T63" s="5" t="inlineStr"/>
      <c r="U63" s="5" t="inlineStr"/>
      <c r="V63" s="5" t="inlineStr">
        <is>
          <t>Projects for reducing emissions from deforestation and forest degradation (REDD+) have been initiated in developing countries, featuring partnerships with multiple actors under the global forest and climate change regime. Even though partnerships between stakeholders are crucial for ensuring successful project deliveries, there is a lack of knowledge about sectoral partnerships within and between stakeholders in REDD+ projects. This study aims to measure the structures and patterns of REDD+ project partnerships using an original, multistage social network theory approach with global-and regional-level centralization analyses using three major regions (Asia, Africa and South America), and configurations using exponential random graph modeling (ERGM). Using data on 480 REDD+ projects implemented in 57 countries, results show concentrated polycentric networks across several dominant actors, including USA-, Brazil-and China-based organizations. Statistical network modeling indicates that, overall, partnerships are less likely to be created between different organization categories (across-type bridging), but tend more towards cooperation with the same types (within-type bridging). Research institutes, however, produce distinctly different patterns, forming across-type partnerships with highly technical capacities. Comparisons of stakeholders at different stages of the REDD+ mechanism help in understanding the complete picture of REDD+ architecture. This study contributes by offering insights for designing future partnerships within REDD+ projects and suggests ways to improve multi-level collaboration and cooperation.</t>
        </is>
      </c>
      <c r="W63" s="5" t="inlineStr">
        <is>
          <t>[Shin, Seongmin; Baral, Himlal] Ctr Int Forestry Res CIFOR, Jalan CIFOR, Bogor 16115, Indonesia; [Park, Mi Sun; Lee, Hansol] Seoul Natl Univ, Grad Sch Int Agr Technol, Pyeongchang 25354, Gangwon, South Korea; [Park, Mi Sun] Seoul Natl Univ, Ctr Int Agr Dev, Inst Green Bio Sci &amp; Technol, Pyeongchang 25354, Gangwon, South Korea; [Baral, Himlal] Univ Melbourne, Dept Ecosyst &amp; Forest Sci, Parkville, Vic 3010, Australia</t>
        </is>
      </c>
      <c r="X63" s="5" t="inlineStr"/>
      <c r="Y63" s="5" t="inlineStr">
        <is>
          <t>Park, MS (corresponding author), Seoul Natl Univ, Grad Sch Int Agr Technol, Pyeongchang 25354, Gangwon, South Korea.</t>
        </is>
      </c>
      <c r="Z63" s="5" t="inlineStr">
        <is>
          <t>seongmin.shin@cgiar.org; mpark@snu.ac.kr; ihansol14@snu.ac.kr; H.Baral@cgiar.org</t>
        </is>
      </c>
      <c r="AA63" s="5" t="inlineStr"/>
      <c r="AB63" s="5" t="inlineStr"/>
      <c r="AC63" s="5" t="inlineStr"/>
      <c r="AD63" s="5" t="inlineStr"/>
      <c r="AE63" s="5" t="inlineStr"/>
      <c r="AF63" s="5" t="inlineStr"/>
      <c r="AG63" s="5" t="n">
        <v>81</v>
      </c>
      <c r="AH63" s="5" t="n">
        <v>17</v>
      </c>
      <c r="AI63" s="5" t="n">
        <v>23</v>
      </c>
      <c r="AJ63" s="5" t="inlineStr"/>
      <c r="AK63" s="5" t="inlineStr"/>
      <c r="AL63" s="5" t="inlineStr"/>
      <c r="AM63" s="5" t="inlineStr"/>
      <c r="AN63" s="5" t="inlineStr"/>
      <c r="AO63" s="5" t="inlineStr"/>
      <c r="AP63" s="5" t="inlineStr"/>
      <c r="AQ63" s="5" t="inlineStr"/>
      <c r="AR63" s="5" t="inlineStr"/>
      <c r="AS63" s="5" t="inlineStr"/>
      <c r="AT63" s="5" t="inlineStr">
        <is>
          <t>FEB</t>
        </is>
      </c>
      <c r="AU63" s="5" t="n">
        <v>2022</v>
      </c>
      <c r="AV63" s="5" t="n">
        <v>135</v>
      </c>
      <c r="AW63" s="5" t="inlineStr"/>
      <c r="AX63" s="5" t="inlineStr"/>
      <c r="AY63" s="5" t="inlineStr"/>
      <c r="AZ63" s="5" t="inlineStr"/>
      <c r="BA63" s="5" t="inlineStr"/>
      <c r="BB63" s="5" t="inlineStr"/>
      <c r="BC63" s="5" t="inlineStr"/>
      <c r="BD63" s="5" t="n">
        <v>102640</v>
      </c>
      <c r="BE63" s="5" t="inlineStr">
        <is>
          <t>10.1016/j.forpol.2021.102640</t>
        </is>
      </c>
      <c r="BF63" s="5" t="n">
        <v>0</v>
      </c>
      <c r="BG63" s="5" t="inlineStr"/>
      <c r="BH63" s="5" t="inlineStr">
        <is>
          <t>NOV 2021</t>
        </is>
      </c>
      <c r="BI63" s="5" t="inlineStr"/>
      <c r="BJ63" s="5" t="inlineStr"/>
      <c r="BK63" s="5" t="inlineStr"/>
      <c r="BL63" s="5" t="inlineStr"/>
      <c r="BM63" s="5" t="inlineStr"/>
      <c r="BN63" s="5" t="inlineStr"/>
      <c r="BO63" s="5" t="inlineStr"/>
      <c r="BP63" s="5" t="inlineStr"/>
      <c r="BQ63" s="5" t="inlineStr"/>
      <c r="BR63" s="5" t="inlineStr">
        <is>
          <t>2026-05-29</t>
        </is>
      </c>
      <c r="BS63" s="5" t="inlineStr">
        <is>
          <t>WOS:000721585300001</t>
        </is>
      </c>
      <c r="BT63" s="5" t="n">
        <v>0</v>
      </c>
      <c r="BU63">
        <f>COUNTIF('오픈소스&amp;직접수집'!F:F,'wos(corecollection)_260528'!BE63)</f>
        <v/>
      </c>
      <c r="BV63">
        <f>COUNTIF('오픈소스&amp;직접수집'!A:A,'wos(corecollection)_260528'!I63)</f>
        <v/>
      </c>
      <c r="BW63">
        <f>SUM(BU63:BV63)</f>
        <v/>
      </c>
    </row>
    <row r="64">
      <c r="A64" s="5" t="inlineStr">
        <is>
          <t>cyram 인용</t>
        </is>
      </c>
      <c r="B64" s="5" t="inlineStr">
        <is>
          <t>Lee, MT; Su, WN</t>
        </is>
      </c>
      <c r="C64" s="5" t="inlineStr"/>
      <c r="D64" s="5" t="inlineStr"/>
      <c r="E64" s="5" t="inlineStr"/>
      <c r="F64" s="5" t="inlineStr">
        <is>
          <t>Lee, Ming-Ta; Su, Wei-Nien</t>
        </is>
      </c>
      <c r="G64" s="5" t="inlineStr"/>
      <c r="H64" s="5" t="inlineStr"/>
      <c r="I64" s="5" t="inlineStr">
        <is>
          <t>Investigation into the development of lithium-ion battery electrolytes and related knowledge transfer using research paper-based social network analysis</t>
        </is>
      </c>
      <c r="J64" s="5" t="inlineStr">
        <is>
          <t>JOURNAL OF ENERGY STORAGE</t>
        </is>
      </c>
      <c r="K64" s="5" t="inlineStr"/>
      <c r="L64" s="5" t="inlineStr"/>
      <c r="M64" s="5" t="inlineStr"/>
      <c r="N64" s="5" t="inlineStr">
        <is>
          <t>Article</t>
        </is>
      </c>
      <c r="O64" s="5" t="inlineStr"/>
      <c r="P64" s="5" t="inlineStr"/>
      <c r="Q64" s="5" t="inlineStr"/>
      <c r="R64" s="5" t="inlineStr"/>
      <c r="S64" s="5" t="inlineStr"/>
      <c r="T64" s="5" t="inlineStr"/>
      <c r="U64" s="5" t="inlineStr"/>
      <c r="V64" s="5" t="inlineStr">
        <is>
          <t>It is generally accepted that the latest research findings are published as research papers in journals. Social network analysis (SNA) can offer a perspective from which to analyze technological developments. This work analyzes the development of lithium-ion batteries (LIBs) and electrolytes by SNA based on papers from 2011 to 2015. Three types of social networks, country-, institution-, and research paper-based networks were used. Country-based network analysis shows that major ten countries have a close relationship with respect to technology development. Institution-based network analysis revealed that 48 top institutions publish the most prolifically and that a small-world effect exists within the network, indicating excellent knowledge transfer among institutions through citations. Several institutions occupy the center position within the network and have a prominent influence in knowledge transfer as judged by centrality analysis. Research paper-based social networks, consisting of high-citation articles, are grouped into six technology clusters, which exhibit a broad range of knowledge transfer processes regardless of the battery and electrolyte types, indicating underlying closely interwoven relationships. The knowledge transfer path can describe the technology evolution in detail. An overview of technological development status can be thus obtained by this proposed three-level analysis method.</t>
        </is>
      </c>
      <c r="W64" s="5" t="inlineStr">
        <is>
          <t>[Lee, Ming-Ta; Su, Wei-Nien] Natl Taiwan Univ Sci &amp; Technol, Grad Inst Appl Sci &amp; Technol, Taipei 106, Taiwan</t>
        </is>
      </c>
      <c r="X64" s="5" t="inlineStr"/>
      <c r="Y64" s="5" t="inlineStr">
        <is>
          <t>Su, WN (corresponding author), Natl Taiwan Univ Sci &amp; Technol, Grad Inst Appl Sci &amp; Technol, Taipei 106, Taiwan.</t>
        </is>
      </c>
      <c r="Z64" s="5" t="inlineStr">
        <is>
          <t>wsu@mail.ntust.edu.tw</t>
        </is>
      </c>
      <c r="AA64" s="5" t="inlineStr"/>
      <c r="AB64" s="5" t="inlineStr"/>
      <c r="AC64" s="5" t="inlineStr"/>
      <c r="AD64" s="5" t="inlineStr"/>
      <c r="AE64" s="5" t="inlineStr"/>
      <c r="AF64" s="5" t="inlineStr"/>
      <c r="AG64" s="5" t="n">
        <v>40</v>
      </c>
      <c r="AH64" s="5" t="n">
        <v>12</v>
      </c>
      <c r="AI64" s="5" t="n">
        <v>13</v>
      </c>
      <c r="AJ64" s="5" t="inlineStr"/>
      <c r="AK64" s="5" t="inlineStr"/>
      <c r="AL64" s="5" t="inlineStr"/>
      <c r="AM64" s="5" t="inlineStr"/>
      <c r="AN64" s="5" t="inlineStr"/>
      <c r="AO64" s="5" t="inlineStr"/>
      <c r="AP64" s="5" t="inlineStr"/>
      <c r="AQ64" s="5" t="inlineStr"/>
      <c r="AR64" s="5" t="inlineStr"/>
      <c r="AS64" s="5" t="inlineStr"/>
      <c r="AT64" s="5" t="inlineStr">
        <is>
          <t>SEP</t>
        </is>
      </c>
      <c r="AU64" s="5" t="n">
        <v>2021</v>
      </c>
      <c r="AV64" s="5" t="n">
        <v>41</v>
      </c>
      <c r="AW64" s="5" t="inlineStr"/>
      <c r="AX64" s="5" t="inlineStr"/>
      <c r="AY64" s="5" t="inlineStr"/>
      <c r="AZ64" s="5" t="inlineStr"/>
      <c r="BA64" s="5" t="inlineStr"/>
      <c r="BB64" s="5" t="inlineStr"/>
      <c r="BC64" s="5" t="inlineStr"/>
      <c r="BD64" s="5" t="n">
        <v>102890</v>
      </c>
      <c r="BE64" s="5" t="inlineStr">
        <is>
          <t>10.1016/j.est.2021.102890</t>
        </is>
      </c>
      <c r="BF64" s="5" t="n">
        <v>0</v>
      </c>
      <c r="BG64" s="5" t="inlineStr"/>
      <c r="BH64" s="5" t="inlineStr">
        <is>
          <t>JUL 2021</t>
        </is>
      </c>
      <c r="BI64" s="5" t="inlineStr"/>
      <c r="BJ64" s="5" t="inlineStr"/>
      <c r="BK64" s="5" t="inlineStr"/>
      <c r="BL64" s="5" t="inlineStr"/>
      <c r="BM64" s="5" t="inlineStr"/>
      <c r="BN64" s="5" t="inlineStr"/>
      <c r="BO64" s="5" t="inlineStr"/>
      <c r="BP64" s="5" t="inlineStr"/>
      <c r="BQ64" s="5" t="inlineStr"/>
      <c r="BR64" s="5" t="inlineStr">
        <is>
          <t>2026-05-29</t>
        </is>
      </c>
      <c r="BS64" s="5" t="inlineStr">
        <is>
          <t>WOS:000674604800002</t>
        </is>
      </c>
      <c r="BT64" s="5" t="n">
        <v>0</v>
      </c>
      <c r="BU64">
        <f>COUNTIF('오픈소스&amp;직접수집'!F:F,'wos(corecollection)_260528'!BE64)</f>
        <v/>
      </c>
      <c r="BV64">
        <f>COUNTIF('오픈소스&amp;직접수집'!A:A,'wos(corecollection)_260528'!I64)</f>
        <v/>
      </c>
      <c r="BW64">
        <f>SUM(BU64:BV64)</f>
        <v/>
      </c>
    </row>
    <row r="65">
      <c r="A65" s="5" t="inlineStr">
        <is>
          <t>cyram 인용</t>
        </is>
      </c>
      <c r="B65" s="5" t="inlineStr">
        <is>
          <t>Kim, D; Lee, W; Kim, D; Gim, G</t>
        </is>
      </c>
      <c r="C65" s="5" t="inlineStr"/>
      <c r="D65" s="5" t="inlineStr"/>
      <c r="E65" s="5" t="inlineStr"/>
      <c r="F65" s="5" t="inlineStr">
        <is>
          <t>Kim, Dukjin; Lee, Wooyoung; Kim, Dohyung; Gim, Gwangyong</t>
        </is>
      </c>
      <c r="G65" s="5" t="inlineStr"/>
      <c r="H65" s="5" t="inlineStr"/>
      <c r="I65" s="5" t="inlineStr">
        <is>
          <t>An Empirical Study on Filter Bubbles in the YouTube Comments Network: Using Social Network Analysis</t>
        </is>
      </c>
      <c r="J65" s="5" t="inlineStr">
        <is>
          <t>INTERNATIONAL JOURNAL OF SOFTWARE INNOVATION</t>
        </is>
      </c>
      <c r="K65" s="5" t="inlineStr"/>
      <c r="L65" s="5" t="inlineStr"/>
      <c r="M65" s="5" t="inlineStr"/>
      <c r="N65" s="5" t="inlineStr">
        <is>
          <t>Article</t>
        </is>
      </c>
      <c r="O65" s="5" t="inlineStr"/>
      <c r="P65" s="5" t="inlineStr"/>
      <c r="Q65" s="5" t="inlineStr"/>
      <c r="R65" s="5" t="inlineStr"/>
      <c r="S65" s="5" t="inlineStr"/>
      <c r="T65" s="5" t="inlineStr"/>
      <c r="U65" s="5" t="inlineStr"/>
      <c r="V65" s="5" t="inlineStr">
        <is>
          <t>Some point out that the influence of YouTube's video recommendation algorithm is causing users to be exposed to only video clips in limited subjects or fields, especially to biased content with opinions that are tilted to one side. However, there is a lack of empirical research on filter bubbles as algorithms in YouTube have not been disclosed. This study indirectly demonstrated the phenomenon of filter bubble on YouTube by extracting comment-based content network between uploaders who posted videos and writers who wrote comments on the video by each subject of the contents. Also, this study analyzed communication patterns between users through social network analysis (SNA). According to the analysis, users' narrow information acquisition and communication phenomenon caused by the filter bubble in YouTube was found.</t>
        </is>
      </c>
      <c r="W65" s="5" t="inlineStr">
        <is>
          <t>[Kim, Dukjin] Soongsil Univ, Grad Sch IT Policy &amp; Management, Seoul, South Korea; [Lee, Wooyoung; Kim, Dohyung; Gim, Gwangyong] Soongsil Univ, Seoul, South Korea</t>
        </is>
      </c>
      <c r="X65" s="5" t="inlineStr"/>
      <c r="Y65" s="5" t="inlineStr">
        <is>
          <t>Kim, D (corresponding author), Soongsil Univ, Grad Sch IT Policy &amp; Management, Seoul, South Korea.</t>
        </is>
      </c>
      <c r="Z65" s="5" t="inlineStr"/>
      <c r="AA65" s="5" t="inlineStr"/>
      <c r="AB65" s="5" t="inlineStr"/>
      <c r="AC65" s="5" t="inlineStr"/>
      <c r="AD65" s="5" t="inlineStr"/>
      <c r="AE65" s="5" t="inlineStr"/>
      <c r="AF65" s="5" t="inlineStr"/>
      <c r="AG65" s="5" t="n">
        <v>28</v>
      </c>
      <c r="AH65" s="5" t="n">
        <v>0</v>
      </c>
      <c r="AI65" s="5" t="n">
        <v>1</v>
      </c>
      <c r="AJ65" s="5" t="inlineStr"/>
      <c r="AK65" s="5" t="inlineStr"/>
      <c r="AL65" s="5" t="inlineStr"/>
      <c r="AM65" s="5" t="inlineStr"/>
      <c r="AN65" s="5" t="inlineStr"/>
      <c r="AO65" s="5" t="inlineStr"/>
      <c r="AP65" s="5" t="inlineStr"/>
      <c r="AQ65" s="5" t="inlineStr"/>
      <c r="AR65" s="5" t="inlineStr"/>
      <c r="AS65" s="5" t="inlineStr"/>
      <c r="AT65" s="5" t="inlineStr">
        <is>
          <t>JUL-SEP</t>
        </is>
      </c>
      <c r="AU65" s="5" t="n">
        <v>2021</v>
      </c>
      <c r="AV65" s="5" t="n">
        <v>9</v>
      </c>
      <c r="AW65" s="5" t="n">
        <v>3</v>
      </c>
      <c r="AX65" s="5" t="inlineStr"/>
      <c r="AY65" s="5" t="inlineStr"/>
      <c r="AZ65" s="5" t="inlineStr"/>
      <c r="BA65" s="5" t="inlineStr"/>
      <c r="BB65" s="5" t="n">
        <v>52</v>
      </c>
      <c r="BC65" s="5" t="n">
        <v>65</v>
      </c>
      <c r="BD65" s="5" t="inlineStr"/>
      <c r="BE65" s="5" t="inlineStr">
        <is>
          <t>10.4018/IJSI.2021070104</t>
        </is>
      </c>
      <c r="BF65" s="5" t="n">
        <v>0</v>
      </c>
      <c r="BG65" s="5" t="inlineStr"/>
      <c r="BH65" s="5" t="inlineStr"/>
      <c r="BI65" s="5" t="inlineStr"/>
      <c r="BJ65" s="5" t="inlineStr"/>
      <c r="BK65" s="5" t="inlineStr"/>
      <c r="BL65" s="5" t="inlineStr"/>
      <c r="BM65" s="5" t="inlineStr"/>
      <c r="BN65" s="5" t="inlineStr"/>
      <c r="BO65" s="5" t="inlineStr"/>
      <c r="BP65" s="5" t="inlineStr"/>
      <c r="BQ65" s="5" t="inlineStr"/>
      <c r="BR65" s="5" t="inlineStr">
        <is>
          <t>2026-05-29</t>
        </is>
      </c>
      <c r="BS65" s="5" t="inlineStr">
        <is>
          <t>WOS:000708496000004</t>
        </is>
      </c>
      <c r="BT65" s="5" t="n">
        <v>0</v>
      </c>
      <c r="BU65">
        <f>COUNTIF('오픈소스&amp;직접수집'!F:F,'wos(corecollection)_260528'!BE65)</f>
        <v/>
      </c>
      <c r="BV65">
        <f>COUNTIF('오픈소스&amp;직접수집'!A:A,'wos(corecollection)_260528'!I65)</f>
        <v/>
      </c>
      <c r="BW65">
        <f>SUM(BU65:BV65)</f>
        <v/>
      </c>
    </row>
    <row r="66">
      <c r="A66" s="5" t="inlineStr">
        <is>
          <t>cyram 인용</t>
        </is>
      </c>
      <c r="B66" s="5" t="inlineStr">
        <is>
          <t>Shin, S; Park, MS; Lee, H; Lee, S; Lee, H; Kim, TH; Kim, HJ</t>
        </is>
      </c>
      <c r="C66" s="5" t="inlineStr"/>
      <c r="D66" s="5" t="inlineStr"/>
      <c r="E66" s="5" t="inlineStr"/>
      <c r="F66" s="5" t="inlineStr">
        <is>
          <t>Shin, Seongmin; Park, Mi Sun; Lee, Hansol; Lee, Seongeun; Lee, Haeun; Kim, Tae Hoon; Kim, Hyo Jin</t>
        </is>
      </c>
      <c r="G66" s="5" t="inlineStr"/>
      <c r="H66" s="5" t="inlineStr"/>
      <c r="I66" s="5" t="inlineStr">
        <is>
          <t>Global Trends in Research on Wild-Simulated Ginseng: Quo Vadis?</t>
        </is>
      </c>
      <c r="J66" s="5" t="inlineStr">
        <is>
          <t>FORESTS</t>
        </is>
      </c>
      <c r="K66" s="5" t="inlineStr"/>
      <c r="L66" s="5" t="inlineStr"/>
      <c r="M66" s="5" t="inlineStr"/>
      <c r="N66" s="5" t="inlineStr">
        <is>
          <t>Article</t>
        </is>
      </c>
      <c r="O66" s="5" t="inlineStr"/>
      <c r="P66" s="5" t="inlineStr"/>
      <c r="Q66" s="5" t="inlineStr"/>
      <c r="R66" s="5" t="inlineStr"/>
      <c r="S66" s="5" t="inlineStr"/>
      <c r="T66" s="5" t="inlineStr"/>
      <c r="U66" s="5" t="inlineStr"/>
      <c r="V66" s="5" t="inlineStr">
        <is>
          <t>To the best of our knowledge, no study has systematically reviewed and analyzed the research trends of wild-simulated ginseng (WSG) used for food or medicinal purposes in many countries. WSG, a non-timber forest product, has been traditionally produced using agroforestry practices, and it has been consumed in various ways for a long time. WSG has a great demand in the market due to its medicinal effects, particularly in improving forest livelihoods and human health. Due to the significance of WSG, we conducted this research to explore the global research trends on WSG using systematic review methodology and keyword analysis. We used two international academic databases, the Web of Science and SCOPUS, to extract 115 peer-reviewed articles published from 1982 to 2020. The research subjects, target countries, and keywords were analyzed. Our results indicate four categories of WSG research subjects, namely growth conditions, components, effects on humans/animals, and the environment of WSG, and the case studies were mainly from the Republic of Korea, China, and the USA. Through topic modelling, research keywords were classified into five groups, namely medicinal effects, metabolite analysis, genetic diversity, cultivation conditions, and bioactive compounds. We observed that the research focus on WSG changed from the biological properties and cultivation conditions of WSG to the precise identification and characterization of bioactive metabolites of WSG. This change indicates an increased academic interest in the value-added utilization of WSG.</t>
        </is>
      </c>
      <c r="W66" s="5" t="inlineStr">
        <is>
          <t>[Shin, Seongmin] Ctr Int Forestry Res CIFOR, Jalan CIFOR,Situ Gede, Bogor 16115, Indonesia; [Shin, Seongmin; Park, Mi Sun; Lee, Hansol; Lee, Haeun; Kim, Tae Hoon; Kim, Hyo Jin] Seoul Natl Univ, Grad Sch Int Agr Technol, 1447 Pyeongchang Daero, Pyeongchang 25354, Gangwon, South Korea; [Park, Mi Sun; Kim, Hyo Jin] Seoul Natl Univ, Inst Green Bio Sci, 1447 Pyeongchang Daero, Pyeongchang 25354, Gangwon, South Korea; [Park, Mi Sun; Kim, Hyo Jin] Seoul Natl Univ, Inst Technol, 1447 Pyeongchang Daero, Pyeongchang 25354, Gangwon, South Korea; [Lee, Seongeun] Korea Rural Econ Inst, Ctr Int Agr Partnership, Naju Si 58217, Jeollanam Do, South Korea</t>
        </is>
      </c>
      <c r="X66" s="5" t="inlineStr"/>
      <c r="Y66" s="5" t="inlineStr">
        <is>
          <t>Park, MS (corresponding author), Seoul Natl Univ, Grad Sch Int Agr Technol, 1447 Pyeongchang Daero, Pyeongchang 25354, Gangwon, South Korea.;Park, MS (corresponding author), Seoul Natl Univ, Inst Green Bio Sci, 1447 Pyeongchang Daero, Pyeongchang 25354, Gangwon, South Korea.;Park, MS (corresponding author), Seoul Natl Univ, Inst Technol, 1447 Pyeongchang Daero, Pyeongchang 25354, Gangwon, South Korea.</t>
        </is>
      </c>
      <c r="Z66" s="5" t="inlineStr">
        <is>
          <t>seongmin.shin@cgiar.org; mpark@snu.ac.kr; ihansol14@snu.ac.kr; lse1229@krei.re.kr; haeunl630@snu.ac.kr; switch-thkim@snu.ac.kr; erythritol@snu.ac.kr</t>
        </is>
      </c>
      <c r="AA66" s="5" t="inlineStr"/>
      <c r="AB66" s="5" t="inlineStr"/>
      <c r="AC66" s="5" t="inlineStr"/>
      <c r="AD66" s="5" t="inlineStr"/>
      <c r="AE66" s="5" t="inlineStr"/>
      <c r="AF66" s="5" t="inlineStr"/>
      <c r="AG66" s="5" t="n">
        <v>95</v>
      </c>
      <c r="AH66" s="5" t="n">
        <v>16</v>
      </c>
      <c r="AI66" s="5" t="n">
        <v>16</v>
      </c>
      <c r="AJ66" s="5" t="inlineStr"/>
      <c r="AK66" s="5" t="inlineStr"/>
      <c r="AL66" s="5" t="inlineStr"/>
      <c r="AM66" s="5" t="inlineStr"/>
      <c r="AN66" s="5" t="inlineStr"/>
      <c r="AO66" s="5" t="inlineStr"/>
      <c r="AP66" s="5" t="inlineStr"/>
      <c r="AQ66" s="5" t="inlineStr"/>
      <c r="AR66" s="5" t="inlineStr"/>
      <c r="AS66" s="5" t="inlineStr"/>
      <c r="AT66" s="5" t="inlineStr">
        <is>
          <t>JUN</t>
        </is>
      </c>
      <c r="AU66" s="5" t="n">
        <v>2021</v>
      </c>
      <c r="AV66" s="5" t="n">
        <v>12</v>
      </c>
      <c r="AW66" s="5" t="n">
        <v>6</v>
      </c>
      <c r="AX66" s="5" t="inlineStr"/>
      <c r="AY66" s="5" t="inlineStr"/>
      <c r="AZ66" s="5" t="inlineStr"/>
      <c r="BA66" s="5" t="inlineStr"/>
      <c r="BB66" s="5" t="inlineStr"/>
      <c r="BC66" s="5" t="inlineStr"/>
      <c r="BD66" s="5" t="n">
        <v>664</v>
      </c>
      <c r="BE66" s="5" t="inlineStr">
        <is>
          <t>10.3390/f12060664</t>
        </is>
      </c>
      <c r="BF66" s="5" t="n">
        <v>0</v>
      </c>
      <c r="BG66" s="5" t="inlineStr"/>
      <c r="BH66" s="5" t="inlineStr"/>
      <c r="BI66" s="5" t="inlineStr"/>
      <c r="BJ66" s="5" t="inlineStr"/>
      <c r="BK66" s="5" t="inlineStr"/>
      <c r="BL66" s="5" t="inlineStr"/>
      <c r="BM66" s="5" t="inlineStr"/>
      <c r="BN66" s="5" t="inlineStr"/>
      <c r="BO66" s="5" t="inlineStr"/>
      <c r="BP66" s="5" t="inlineStr"/>
      <c r="BQ66" s="5" t="inlineStr"/>
      <c r="BR66" s="5" t="inlineStr">
        <is>
          <t>2026-05-29</t>
        </is>
      </c>
      <c r="BS66" s="5" t="inlineStr">
        <is>
          <t>WOS:000665984900001</t>
        </is>
      </c>
      <c r="BT66" s="5" t="n">
        <v>0</v>
      </c>
      <c r="BU66">
        <f>COUNTIF('오픈소스&amp;직접수집'!F:F,'wos(corecollection)_260528'!BE66)</f>
        <v/>
      </c>
      <c r="BV66">
        <f>COUNTIF('오픈소스&amp;직접수집'!A:A,'wos(corecollection)_260528'!I66)</f>
        <v/>
      </c>
      <c r="BW66">
        <f>SUM(BU66:BV66)</f>
        <v/>
      </c>
    </row>
    <row r="67">
      <c r="A67" s="5" t="inlineStr">
        <is>
          <t>cyram 인용</t>
        </is>
      </c>
      <c r="B67" s="5" t="inlineStr">
        <is>
          <t>Kang, HJ; Han, J; Kwon, GH</t>
        </is>
      </c>
      <c r="C67" s="5" t="inlineStr"/>
      <c r="D67" s="5" t="inlineStr"/>
      <c r="E67" s="5" t="inlineStr"/>
      <c r="F67" s="5" t="inlineStr">
        <is>
          <t>Kang, Hyo-Jin; Han, Jieun; Kwon, Gyu Hyun</t>
        </is>
      </c>
      <c r="G67" s="5" t="inlineStr"/>
      <c r="H67" s="5" t="inlineStr"/>
      <c r="I67" s="5" t="inlineStr">
        <is>
          <t>Determining the Intellectual Structure and Academic Trends of Smart Home Health Care Research: Coword and Topic Analyses</t>
        </is>
      </c>
      <c r="J67" s="5" t="inlineStr">
        <is>
          <t>JOURNAL OF MEDICAL INTERNET RESEARCH</t>
        </is>
      </c>
      <c r="K67" s="5" t="inlineStr"/>
      <c r="L67" s="5" t="inlineStr"/>
      <c r="M67" s="5" t="inlineStr"/>
      <c r="N67" s="5" t="inlineStr">
        <is>
          <t>Review</t>
        </is>
      </c>
      <c r="O67" s="5" t="inlineStr"/>
      <c r="P67" s="5" t="inlineStr"/>
      <c r="Q67" s="5" t="inlineStr"/>
      <c r="R67" s="5" t="inlineStr"/>
      <c r="S67" s="5" t="inlineStr"/>
      <c r="T67" s="5" t="inlineStr"/>
      <c r="U67" s="5" t="inlineStr"/>
      <c r="V67" s="5" t="inlineStr">
        <is>
          <t>Background: With the rapid development of information and communication technologies, smart homes are being investigated as effective solutions for home health care. The increasing academic attention on smart home health care has primarily been on the development and application of smart home technologies. However, comprehensive studies examining the general landscape of diverse research areas for smart home health care are still lacking. Objective: This study aims to determine the intellectual structure of smart home health care in a time series by conducting a coword analysis and topic analysis. Specifically, it investigates (1) the intellectual basis of smart home health care through overall academic status, (2) the intellectual foci through influential keywords and their evolutions, and (3) intellectual trends through primary topics and their evolutions. Methods: Analyses were conducted in 5 steps: (1) data retrieval from article databases (Web of Science, Scopus, and PubMed) and the initial dataset preparation of 6080 abstracts from the year 2000 to the first half of 2019; (2) data preprocessing and refinement extraction of 25,563 words; (3) a descriptive analysis of the overall academic status and period division (ie, 4 stages of 3-year blocks); (4) coword analysis based on word co-occurrence networks for the intellectual foci; and (5) topic analysis for the intellectual trends based on latent Dirichlet allocation (LDA) topic modeling, word-topic networks, and researcher workshops. Results: First, regarding the intellectual basis of smart home health care, recent academic interest and predominant journals and research domains were verified. Second, to determine the intellectual foci, primary keywords were identified and classified according to the degree of their centrality values. Third, 5 themes pertaining to the topic evolution emerged: (1) the diversification of smart home health care research topics; (2) the shift from technology-oriented research to technological convergence research; (3) the expansion of application areas and system functionality of smart home health care; (4) the increased focus on system usability, such as service design and experiences; and (5) the recent adaptation of the latest technologies in health care. Based on these findings, the pattern of technology diffusion in smart home health care research was determined as the adaptation of technologies, the proliferation of application areas, and an extension into system design and service experiences. Conclusions: The research findings provide academic and practical value in 3 aspects. First, they promote a comprehensive understanding of the smart home health care domain by identifying its multifaceted intellectual structure in a time series. Second, they can help clinicians discern the development and dispersion level of their respective disciplines. Third, the pattern of technology diffusion in smart home health care could help scholars comprehend current and future research trends and identify research opportunities based on upcoming research waves of newly adapted technologies in smart home health care.</t>
        </is>
      </c>
      <c r="W67" s="5" t="inlineStr">
        <is>
          <t>[Kang, Hyo-Jin] Sungshin Womens Univ, Dept Serv Design Engn, Seoul, South Korea; [Han, Jieun; Kwon, Gyu Hyun] Hanyang Univ, Grad Sch Technol &amp; Innovat Management, 222 Wangsimni Ro, Seoul 04763, South Korea</t>
        </is>
      </c>
      <c r="X67" s="5" t="inlineStr"/>
      <c r="Y67" s="5" t="inlineStr">
        <is>
          <t>Kwon, GH (corresponding author), Hanyang Univ, Grad Sch Technol &amp; Innovat Management, 222 Wangsimni Ro, Seoul 04763, South Korea.</t>
        </is>
      </c>
      <c r="Z67" s="5" t="inlineStr">
        <is>
          <t>ghkwon@hanyang.ac.kr</t>
        </is>
      </c>
      <c r="AA67" s="5" t="inlineStr"/>
      <c r="AB67" s="5" t="inlineStr"/>
      <c r="AC67" s="5" t="inlineStr"/>
      <c r="AD67" s="5" t="inlineStr"/>
      <c r="AE67" s="5" t="inlineStr"/>
      <c r="AF67" s="5" t="inlineStr"/>
      <c r="AG67" s="5" t="n">
        <v>53</v>
      </c>
      <c r="AH67" s="5" t="n">
        <v>16</v>
      </c>
      <c r="AI67" s="5" t="n">
        <v>16</v>
      </c>
      <c r="AJ67" s="5" t="inlineStr"/>
      <c r="AK67" s="5" t="inlineStr"/>
      <c r="AL67" s="5" t="inlineStr"/>
      <c r="AM67" s="5" t="inlineStr"/>
      <c r="AN67" s="5" t="inlineStr"/>
      <c r="AO67" s="5" t="inlineStr"/>
      <c r="AP67" s="5" t="inlineStr"/>
      <c r="AQ67" s="5" t="inlineStr"/>
      <c r="AR67" s="5" t="inlineStr"/>
      <c r="AS67" s="5" t="inlineStr"/>
      <c r="AT67" s="5" t="inlineStr">
        <is>
          <t>JAN 21</t>
        </is>
      </c>
      <c r="AU67" s="5" t="n">
        <v>2021</v>
      </c>
      <c r="AV67" s="5" t="n">
        <v>23</v>
      </c>
      <c r="AW67" s="5" t="n">
        <v>1</v>
      </c>
      <c r="AX67" s="5" t="inlineStr"/>
      <c r="AY67" s="5" t="inlineStr"/>
      <c r="AZ67" s="5" t="inlineStr"/>
      <c r="BA67" s="5" t="inlineStr"/>
      <c r="BB67" s="5" t="inlineStr"/>
      <c r="BC67" s="5" t="inlineStr"/>
      <c r="BD67" s="5" t="inlineStr">
        <is>
          <t>e19625</t>
        </is>
      </c>
      <c r="BE67" s="5" t="inlineStr">
        <is>
          <t>10.2196/19625</t>
        </is>
      </c>
      <c r="BF67" s="5" t="n">
        <v>0</v>
      </c>
      <c r="BG67" s="5" t="inlineStr"/>
      <c r="BH67" s="5" t="inlineStr"/>
      <c r="BI67" s="5" t="inlineStr"/>
      <c r="BJ67" s="5" t="inlineStr"/>
      <c r="BK67" s="5" t="inlineStr"/>
      <c r="BL67" s="5" t="inlineStr"/>
      <c r="BM67" s="5" t="inlineStr"/>
      <c r="BN67" s="5" t="inlineStr"/>
      <c r="BO67" s="5" t="inlineStr"/>
      <c r="BP67" s="5" t="inlineStr"/>
      <c r="BQ67" s="5" t="inlineStr"/>
      <c r="BR67" s="5" t="inlineStr">
        <is>
          <t>2026-05-29</t>
        </is>
      </c>
      <c r="BS67" s="5" t="inlineStr">
        <is>
          <t>WOS:000609251000007</t>
        </is>
      </c>
      <c r="BT67" s="5" t="n">
        <v>0</v>
      </c>
      <c r="BU67">
        <f>COUNTIF('오픈소스&amp;직접수집'!F:F,'wos(corecollection)_260528'!BE67)</f>
        <v/>
      </c>
      <c r="BV67">
        <f>COUNTIF('오픈소스&amp;직접수집'!A:A,'wos(corecollection)_260528'!I67)</f>
        <v/>
      </c>
      <c r="BW67">
        <f>SUM(BU67:BV67)</f>
        <v/>
      </c>
    </row>
    <row r="68">
      <c r="A68" s="5" t="inlineStr">
        <is>
          <t>cyram 인용</t>
        </is>
      </c>
      <c r="B68" s="5" t="inlineStr">
        <is>
          <t>Bang, SW</t>
        </is>
      </c>
      <c r="C68" s="5" t="inlineStr"/>
      <c r="D68" s="5" t="inlineStr"/>
      <c r="E68" s="5" t="inlineStr"/>
      <c r="F68" s="5" t="inlineStr">
        <is>
          <t>Bang, Seong-won</t>
        </is>
      </c>
      <c r="G68" s="5" t="inlineStr"/>
      <c r="H68" s="5" t="inlineStr"/>
      <c r="I68" s="5" t="inlineStr">
        <is>
          <t>Analysis of Research Trends on Online Korean Language Education -Using topic modeling and semantic network analysis-</t>
        </is>
      </c>
      <c r="J68" s="5" t="inlineStr">
        <is>
          <t>JOURNAL OF THE INTERNATIONAL NETWORK FOR KOREAN LANGUAGE AND CULTURE</t>
        </is>
      </c>
      <c r="K68" s="5" t="inlineStr"/>
      <c r="L68" s="5" t="inlineStr"/>
      <c r="M68" s="5" t="inlineStr"/>
      <c r="N68" s="5" t="inlineStr">
        <is>
          <t>Article</t>
        </is>
      </c>
      <c r="O68" s="5" t="inlineStr"/>
      <c r="P68" s="5" t="inlineStr"/>
      <c r="Q68" s="5" t="inlineStr"/>
      <c r="R68" s="5" t="inlineStr"/>
      <c r="S68" s="5" t="inlineStr"/>
      <c r="T68" s="5" t="inlineStr"/>
      <c r="U68" s="5" t="inlineStr"/>
      <c r="V68" s="5" t="inlineStr">
        <is>
          <t>This study aims to investigate the characteristics of knowledge structures and trends in research concerning online Korean language education. The subject of analysis are the journal articles collected by KCI. Topic modeling and semantic network analysis are used to identify the main topics and influential keywords of articles. The analysis yielded the following results. First of all, seven topics were derived through topic modeling: Development of tools for online Korean language learning, Using hybrid online classes, Smart Learning and learning using content, Management of teachers' online Korean language classes, Development of multimedia education materials, Media literacy and cultural education and Korean language education using new digital technology. The results of the semantic network analysis showed that keywords with high a degree of centrality throughout the articles included learning, class, learner, using, and development. In separately analyzing the articles published before and after 2019-when the number of articles increased significantly-it was found that the centrality of class was further increased, and that the centrality of development was decreased. The results of this study provide implications for understanding trends in online Korean language education research that has evolved reflecting environmental changes and for predicting the direction of future research.(KyungHee Cyber University)</t>
        </is>
      </c>
      <c r="W68" s="5" t="inlineStr"/>
      <c r="X68" s="5" t="inlineStr"/>
      <c r="Y68" s="5" t="inlineStr"/>
      <c r="Z68" s="5" t="inlineStr">
        <is>
          <t>newsift@khcu.ac.kr</t>
        </is>
      </c>
      <c r="AA68" s="5" t="inlineStr"/>
      <c r="AB68" s="5" t="inlineStr"/>
      <c r="AC68" s="5" t="inlineStr"/>
      <c r="AD68" s="5" t="inlineStr"/>
      <c r="AE68" s="5" t="inlineStr"/>
      <c r="AF68" s="5" t="inlineStr"/>
      <c r="AG68" s="5" t="n">
        <v>24</v>
      </c>
      <c r="AH68" s="5" t="n">
        <v>1</v>
      </c>
      <c r="AI68" s="5" t="n">
        <v>1</v>
      </c>
      <c r="AJ68" s="5" t="inlineStr"/>
      <c r="AK68" s="5" t="inlineStr"/>
      <c r="AL68" s="5" t="inlineStr"/>
      <c r="AM68" s="5" t="inlineStr"/>
      <c r="AN68" s="5" t="inlineStr"/>
      <c r="AO68" s="5" t="inlineStr"/>
      <c r="AP68" s="5" t="inlineStr"/>
      <c r="AQ68" s="5" t="inlineStr"/>
      <c r="AR68" s="5" t="inlineStr"/>
      <c r="AS68" s="5" t="inlineStr"/>
      <c r="AT68" s="5" t="inlineStr"/>
      <c r="AU68" s="5" t="n">
        <v>2021</v>
      </c>
      <c r="AV68" s="5" t="n">
        <v>18</v>
      </c>
      <c r="AW68" s="5" t="n">
        <v>1</v>
      </c>
      <c r="AX68" s="5" t="inlineStr"/>
      <c r="AY68" s="5" t="inlineStr"/>
      <c r="AZ68" s="5" t="inlineStr"/>
      <c r="BA68" s="5" t="inlineStr"/>
      <c r="BB68" s="5" t="n">
        <v>1</v>
      </c>
      <c r="BC68" s="5" t="n">
        <v>30</v>
      </c>
      <c r="BD68" s="5" t="inlineStr"/>
      <c r="BE68" s="5" t="inlineStr">
        <is>
          <t>10.15652/ink.2021.18.1.001</t>
        </is>
      </c>
      <c r="BF68" s="5" t="n">
        <v>0</v>
      </c>
      <c r="BG68" s="5" t="inlineStr"/>
      <c r="BH68" s="5" t="inlineStr"/>
      <c r="BI68" s="5" t="inlineStr"/>
      <c r="BJ68" s="5" t="inlineStr"/>
      <c r="BK68" s="5" t="inlineStr"/>
      <c r="BL68" s="5" t="inlineStr"/>
      <c r="BM68" s="5" t="inlineStr"/>
      <c r="BN68" s="5" t="inlineStr"/>
      <c r="BO68" s="5" t="inlineStr"/>
      <c r="BP68" s="5" t="inlineStr"/>
      <c r="BQ68" s="5" t="inlineStr"/>
      <c r="BR68" s="5" t="inlineStr">
        <is>
          <t>2026-05-29</t>
        </is>
      </c>
      <c r="BS68" s="5" t="inlineStr">
        <is>
          <t>WOS:000652365300001</t>
        </is>
      </c>
      <c r="BT68" s="5" t="n">
        <v>0</v>
      </c>
      <c r="BU68">
        <f>COUNTIF('오픈소스&amp;직접수집'!F:F,'wos(corecollection)_260528'!BE68)</f>
        <v/>
      </c>
      <c r="BV68">
        <f>COUNTIF('오픈소스&amp;직접수집'!A:A,'wos(corecollection)_260528'!I68)</f>
        <v/>
      </c>
      <c r="BW68">
        <f>SUM(BU68:BV68)</f>
        <v/>
      </c>
    </row>
    <row r="69">
      <c r="A69" s="5" t="inlineStr">
        <is>
          <t>cyram 인용</t>
        </is>
      </c>
      <c r="B69" s="5" t="inlineStr">
        <is>
          <t>Wang, TN; Qu, ZH; Yang, ZL; Nichol, T; Clarke, G; Ge, YE</t>
        </is>
      </c>
      <c r="C69" s="5" t="inlineStr"/>
      <c r="D69" s="5" t="inlineStr"/>
      <c r="E69" s="5" t="inlineStr"/>
      <c r="F69" s="5" t="inlineStr">
        <is>
          <t>Wang, Tianni; Qu, Zhuohua; Yang, Zaili; Nichol, Timothy; Clarke, Geoff; Ge, Ying-En</t>
        </is>
      </c>
      <c r="G69" s="5" t="inlineStr"/>
      <c r="H69" s="5" t="inlineStr"/>
      <c r="I69" s="5" t="inlineStr">
        <is>
          <t>Climate change research on transportation systems: Climate risks, adaptation and planning</t>
        </is>
      </c>
      <c r="J69" s="5" t="inlineStr">
        <is>
          <t>TRANSPORTATION RESEARCH PART D-TRANSPORT AND ENVIRONMENT</t>
        </is>
      </c>
      <c r="K69" s="5" t="inlineStr"/>
      <c r="L69" s="5" t="inlineStr"/>
      <c r="M69" s="5" t="inlineStr"/>
      <c r="N69" s="5" t="inlineStr">
        <is>
          <t>Article</t>
        </is>
      </c>
      <c r="O69" s="5" t="inlineStr"/>
      <c r="P69" s="5" t="inlineStr"/>
      <c r="Q69" s="5" t="inlineStr"/>
      <c r="R69" s="5" t="inlineStr"/>
      <c r="S69" s="5" t="inlineStr"/>
      <c r="T69" s="5" t="inlineStr"/>
      <c r="U69" s="5" t="inlineStr"/>
      <c r="V69" s="5" t="inlineStr">
        <is>
          <t>With the occurrence of more frequent and intense climate change events, transportation systems, including their infrastructure and operations become increasingly vulnerable. However, the existing research related to climate risks, adaptation and planning in the transport sector is still at an embryonic stage. Understanding such, this paper presents a critical review on climate risks, adaptation strategies and planning in the context of road and rail transportation systems. It aims to conduct a rigorous survey, to highlight any significant research gaps not addressed in past studies and to analyse current emerging topics to guide future directions. It critically dissects the selected papers by categorising them into several dimensions to reveal the status quo and potential challenges, including climate risk assessment, transport asset management, climate planning and policy, and adaptation of transport infrastructure to climate change. It will provide valuable references for future research and constructive insights and empirical guidance on climate adaptation, risk analysis, transport planning and other important relevant topics.</t>
        </is>
      </c>
      <c r="W69" s="5" t="inlineStr">
        <is>
          <t>[Wang, Tianni; Ge, Ying-En] Shanghai Maritime Univ, Coll Transport &amp; Commun, Shanghai, Peoples R China; [Wang, Tianni; Qu, Zhuohua; Nichol, Timothy] Liverpool John Moores Univ, Liverpool Business Sch, Liverpool, Merseyside, England; [Wang, Tianni; Yang, Zaili] Liverpool John Moores Univ, Offshore &amp; Marine Res Inst, Liverpool Logist, Liverpool, Merseyside, England; [Wang, Tianni; Clarke, Geoff] AECOM UK Ltd, Freight &amp; Logist Dept, Bristol, Avon, England</t>
        </is>
      </c>
      <c r="X69" s="5" t="inlineStr"/>
      <c r="Y69" s="5" t="inlineStr">
        <is>
          <t>Yang, ZL (corresponding author), Liverpool John Moores Univ, Offshore &amp; Marine Res Inst, Liverpool Logist, Liverpool, Merseyside, England.</t>
        </is>
      </c>
      <c r="Z69" s="5" t="inlineStr">
        <is>
          <t>z.yang@ljmu.ac.uk</t>
        </is>
      </c>
      <c r="AA69" s="5" t="inlineStr"/>
      <c r="AB69" s="5" t="inlineStr"/>
      <c r="AC69" s="5" t="inlineStr"/>
      <c r="AD69" s="5" t="inlineStr"/>
      <c r="AE69" s="5" t="inlineStr"/>
      <c r="AF69" s="5" t="inlineStr"/>
      <c r="AG69" s="5" t="n">
        <v>136</v>
      </c>
      <c r="AH69" s="5" t="n">
        <v>108</v>
      </c>
      <c r="AI69" s="5" t="n">
        <v>124</v>
      </c>
      <c r="AJ69" s="5" t="inlineStr"/>
      <c r="AK69" s="5" t="inlineStr"/>
      <c r="AL69" s="5" t="inlineStr"/>
      <c r="AM69" s="5" t="inlineStr"/>
      <c r="AN69" s="5" t="inlineStr"/>
      <c r="AO69" s="5" t="inlineStr"/>
      <c r="AP69" s="5" t="inlineStr"/>
      <c r="AQ69" s="5" t="inlineStr"/>
      <c r="AR69" s="5" t="inlineStr"/>
      <c r="AS69" s="5" t="inlineStr"/>
      <c r="AT69" s="5" t="inlineStr">
        <is>
          <t>NOV</t>
        </is>
      </c>
      <c r="AU69" s="5" t="n">
        <v>2020</v>
      </c>
      <c r="AV69" s="5" t="n">
        <v>88</v>
      </c>
      <c r="AW69" s="5" t="inlineStr"/>
      <c r="AX69" s="5" t="inlineStr"/>
      <c r="AY69" s="5" t="inlineStr"/>
      <c r="AZ69" s="5" t="inlineStr"/>
      <c r="BA69" s="5" t="inlineStr"/>
      <c r="BB69" s="5" t="inlineStr"/>
      <c r="BC69" s="5" t="inlineStr"/>
      <c r="BD69" s="5" t="n">
        <v>102553</v>
      </c>
      <c r="BE69" s="5" t="inlineStr">
        <is>
          <t>10.1016/j.trd.2020.102553</t>
        </is>
      </c>
      <c r="BF69" s="5" t="n">
        <v>0</v>
      </c>
      <c r="BG69" s="5" t="inlineStr"/>
      <c r="BH69" s="5" t="inlineStr"/>
      <c r="BI69" s="5" t="inlineStr"/>
      <c r="BJ69" s="5" t="inlineStr"/>
      <c r="BK69" s="5" t="inlineStr"/>
      <c r="BL69" s="5" t="inlineStr"/>
      <c r="BM69" s="5" t="inlineStr"/>
      <c r="BN69" s="5" t="inlineStr"/>
      <c r="BO69" s="5" t="inlineStr"/>
      <c r="BP69" s="5" t="inlineStr"/>
      <c r="BQ69" s="5" t="inlineStr"/>
      <c r="BR69" s="5" t="inlineStr">
        <is>
          <t>2026-05-29</t>
        </is>
      </c>
      <c r="BS69" s="5" t="inlineStr">
        <is>
          <t>WOS:000591708800011</t>
        </is>
      </c>
      <c r="BT69" s="5" t="n">
        <v>0</v>
      </c>
      <c r="BU69">
        <f>COUNTIF('오픈소스&amp;직접수집'!F:F,'wos(corecollection)_260528'!BE69)</f>
        <v/>
      </c>
      <c r="BV69">
        <f>COUNTIF('오픈소스&amp;직접수집'!A:A,'wos(corecollection)_260528'!I69)</f>
        <v/>
      </c>
      <c r="BW69">
        <f>SUM(BU69:BV69)</f>
        <v/>
      </c>
    </row>
    <row r="70">
      <c r="A70" s="5" t="inlineStr">
        <is>
          <t>cyram 인용</t>
        </is>
      </c>
      <c r="B70" s="5" t="inlineStr">
        <is>
          <t>Yu, H; Chang, H</t>
        </is>
      </c>
      <c r="C70" s="5" t="inlineStr"/>
      <c r="D70" s="5" t="inlineStr"/>
      <c r="E70" s="5" t="inlineStr"/>
      <c r="F70" s="5" t="inlineStr">
        <is>
          <t>Yu, Harang; Chang, Hangbae</t>
        </is>
      </c>
      <c r="G70" s="5" t="inlineStr"/>
      <c r="H70" s="5" t="inlineStr"/>
      <c r="I70" s="5" t="inlineStr">
        <is>
          <t>A Meta-Analysis of Industrial Security Research for Sustainable Organizational Growth</t>
        </is>
      </c>
      <c r="J70" s="5" t="inlineStr">
        <is>
          <t>SUSTAINABILITY</t>
        </is>
      </c>
      <c r="K70" s="5" t="inlineStr"/>
      <c r="L70" s="5" t="inlineStr"/>
      <c r="M70" s="5" t="inlineStr"/>
      <c r="N70" s="5" t="inlineStr">
        <is>
          <t>Article</t>
        </is>
      </c>
      <c r="O70" s="5" t="inlineStr"/>
      <c r="P70" s="5" t="inlineStr"/>
      <c r="Q70" s="5" t="inlineStr"/>
      <c r="R70" s="5" t="inlineStr"/>
      <c r="S70" s="5" t="inlineStr"/>
      <c r="T70" s="5" t="inlineStr"/>
      <c r="U70" s="5" t="inlineStr"/>
      <c r="V70" s="5" t="inlineStr">
        <is>
          <t>As the world enters a fourth Industrial Revolution, organizations worldwide face challenges in dealing with important assets such as industrial technology. Leaking these assets can not only damage organizations economically but also negatively affect customer relationships and brand image. This has led to an increased awareness of industrial security in both the business and academic spheres and a focus on identifying and implementing countermeasures against security incidents, as future computing environments will continuously face security threats. This study first examines the literature on industrial security and its current status in South Korea, which is considered an active industrial security research environment. Subsequently, meta-analyses are conducted on South Korea and abroad to compare their status and research trends in the industrial security field. The results confirm that South Korea has more actively conducted relevant studies compared to international research. This study contributes to the current literature by not only increasing the awareness of industrial security but also encouraging future studies in the field to facilitate a safe and sustainable computing environment.</t>
        </is>
      </c>
      <c r="W70" s="5" t="inlineStr">
        <is>
          <t>[Yu, Harang] Chung Ang Univ, Dept Secur Convergence, Seoul 06974, South Korea; [Chang, Hangbae] Chung Ang Univ, Dept Ind Secur, Seoul 06974, South Korea</t>
        </is>
      </c>
      <c r="X70" s="5" t="inlineStr"/>
      <c r="Y70" s="5" t="inlineStr">
        <is>
          <t>Chang, H (corresponding author), Chung Ang Univ, Dept Ind Secur, Seoul 06974, South Korea.</t>
        </is>
      </c>
      <c r="Z70" s="5" t="inlineStr">
        <is>
          <t>hryu356@cau.ac.kr; hbchang@cau.ac.kr</t>
        </is>
      </c>
      <c r="AA70" s="5" t="inlineStr"/>
      <c r="AB70" s="5" t="inlineStr"/>
      <c r="AC70" s="5" t="inlineStr"/>
      <c r="AD70" s="5" t="inlineStr"/>
      <c r="AE70" s="5" t="inlineStr"/>
      <c r="AF70" s="5" t="inlineStr"/>
      <c r="AG70" s="5" t="n">
        <v>53</v>
      </c>
      <c r="AH70" s="5" t="n">
        <v>2</v>
      </c>
      <c r="AI70" s="5" t="n">
        <v>5</v>
      </c>
      <c r="AJ70" s="5" t="inlineStr"/>
      <c r="AK70" s="5" t="inlineStr"/>
      <c r="AL70" s="5" t="inlineStr"/>
      <c r="AM70" s="5" t="inlineStr"/>
      <c r="AN70" s="5" t="inlineStr"/>
      <c r="AO70" s="5" t="inlineStr"/>
      <c r="AP70" s="5" t="inlineStr"/>
      <c r="AQ70" s="5" t="inlineStr"/>
      <c r="AR70" s="5" t="inlineStr"/>
      <c r="AS70" s="5" t="inlineStr"/>
      <c r="AT70" s="5" t="inlineStr">
        <is>
          <t>NOV</t>
        </is>
      </c>
      <c r="AU70" s="5" t="n">
        <v>2020</v>
      </c>
      <c r="AV70" s="5" t="n">
        <v>12</v>
      </c>
      <c r="AW70" s="5" t="n">
        <v>22</v>
      </c>
      <c r="AX70" s="5" t="inlineStr"/>
      <c r="AY70" s="5" t="inlineStr"/>
      <c r="AZ70" s="5" t="inlineStr"/>
      <c r="BA70" s="5" t="inlineStr"/>
      <c r="BB70" s="5" t="inlineStr"/>
      <c r="BC70" s="5" t="inlineStr"/>
      <c r="BD70" s="5" t="n">
        <v>9526</v>
      </c>
      <c r="BE70" s="5" t="inlineStr">
        <is>
          <t>10.3390/su12229526</t>
        </is>
      </c>
      <c r="BF70" s="5" t="n">
        <v>0</v>
      </c>
      <c r="BG70" s="5" t="inlineStr"/>
      <c r="BH70" s="5" t="inlineStr"/>
      <c r="BI70" s="5" t="inlineStr"/>
      <c r="BJ70" s="5" t="inlineStr"/>
      <c r="BK70" s="5" t="inlineStr"/>
      <c r="BL70" s="5" t="inlineStr"/>
      <c r="BM70" s="5" t="inlineStr"/>
      <c r="BN70" s="5" t="inlineStr"/>
      <c r="BO70" s="5" t="inlineStr"/>
      <c r="BP70" s="5" t="inlineStr"/>
      <c r="BQ70" s="5" t="inlineStr"/>
      <c r="BR70" s="5" t="inlineStr">
        <is>
          <t>2026-05-29</t>
        </is>
      </c>
      <c r="BS70" s="5" t="inlineStr">
        <is>
          <t>WOS:000594562600001</t>
        </is>
      </c>
      <c r="BT70" s="5" t="n">
        <v>0</v>
      </c>
      <c r="BU70">
        <f>COUNTIF('오픈소스&amp;직접수집'!F:F,'wos(corecollection)_260528'!BE70)</f>
        <v/>
      </c>
      <c r="BV70">
        <f>COUNTIF('오픈소스&amp;직접수집'!A:A,'wos(corecollection)_260528'!I70)</f>
        <v/>
      </c>
      <c r="BW70">
        <f>SUM(BU70:BV70)</f>
        <v/>
      </c>
    </row>
    <row r="71">
      <c r="A71" s="5" t="inlineStr">
        <is>
          <t>cyram 인용</t>
        </is>
      </c>
      <c r="B71" s="5" t="inlineStr">
        <is>
          <t>Siudak, D</t>
        </is>
      </c>
      <c r="C71" s="5" t="inlineStr"/>
      <c r="D71" s="5" t="inlineStr"/>
      <c r="E71" s="5" t="inlineStr"/>
      <c r="F71" s="5" t="inlineStr">
        <is>
          <t>Siudak, Dariusz</t>
        </is>
      </c>
      <c r="G71" s="5" t="inlineStr"/>
      <c r="H71" s="5" t="inlineStr"/>
      <c r="I71" s="5" t="inlineStr">
        <is>
          <t>The Influence of Interlocking Directorates on the Propensity of Dividend Payout to the Parent Company</t>
        </is>
      </c>
      <c r="J71" s="5" t="inlineStr">
        <is>
          <t>COMPLEXITY</t>
        </is>
      </c>
      <c r="K71" s="5" t="inlineStr"/>
      <c r="L71" s="5" t="inlineStr"/>
      <c r="M71" s="5" t="inlineStr"/>
      <c r="N71" s="5" t="inlineStr">
        <is>
          <t>Article</t>
        </is>
      </c>
      <c r="O71" s="5" t="inlineStr"/>
      <c r="P71" s="5" t="inlineStr"/>
      <c r="Q71" s="5" t="inlineStr"/>
      <c r="R71" s="5" t="inlineStr"/>
      <c r="S71" s="5" t="inlineStr"/>
      <c r="T71" s="5" t="inlineStr"/>
      <c r="U71" s="5" t="inlineStr"/>
      <c r="V71" s="5" t="inlineStr">
        <is>
          <t>An examination was performed on whether director interlocks enabled the adoption of a dividend policy for the benefit of the parent company in the ownership structure. Specifically, the study investigated the dependence of the impact of the central position in the board network on the probability of dividend payment. Based on sample of firms listed on Polish capital market, it was observed that the more central the company's position in the interlocking directorate network, the more likely it is to pay dividends to a subsidiary. This effect is related to the eigenvector centrality. The results obtained suggest that corporate financial policy can be spread across firms through the board network.</t>
        </is>
      </c>
      <c r="W71" s="5" t="inlineStr">
        <is>
          <t>[Siudak, Dariusz] Lodz Univ Technol, Inst Social Sci &amp; Management Technol, Lodz, Poland</t>
        </is>
      </c>
      <c r="X71" s="5" t="inlineStr"/>
      <c r="Y71" s="5" t="inlineStr">
        <is>
          <t>Siudak, D (corresponding author), Lodz Univ Technol, Inst Social Sci &amp; Management Technol, Lodz, Poland.</t>
        </is>
      </c>
      <c r="Z71" s="5" t="inlineStr">
        <is>
          <t>dariusz.siudak@p.lodz.pl</t>
        </is>
      </c>
      <c r="AA71" s="5" t="inlineStr"/>
      <c r="AB71" s="5" t="inlineStr"/>
      <c r="AC71" s="5" t="inlineStr"/>
      <c r="AD71" s="5" t="inlineStr"/>
      <c r="AE71" s="5" t="inlineStr"/>
      <c r="AF71" s="5" t="inlineStr"/>
      <c r="AG71" s="5" t="n">
        <v>136</v>
      </c>
      <c r="AH71" s="5" t="n">
        <v>7</v>
      </c>
      <c r="AI71" s="5" t="n">
        <v>7</v>
      </c>
      <c r="AJ71" s="5" t="inlineStr"/>
      <c r="AK71" s="5" t="inlineStr"/>
      <c r="AL71" s="5" t="inlineStr"/>
      <c r="AM71" s="5" t="inlineStr"/>
      <c r="AN71" s="5" t="inlineStr"/>
      <c r="AO71" s="5" t="inlineStr"/>
      <c r="AP71" s="5" t="inlineStr"/>
      <c r="AQ71" s="5" t="inlineStr"/>
      <c r="AR71" s="5" t="inlineStr"/>
      <c r="AS71" s="5" t="inlineStr"/>
      <c r="AT71" s="5" t="inlineStr">
        <is>
          <t>MAY 27</t>
        </is>
      </c>
      <c r="AU71" s="5" t="n">
        <v>2020</v>
      </c>
      <c r="AV71" s="5" t="n">
        <v>2020</v>
      </c>
      <c r="AW71" s="5" t="inlineStr"/>
      <c r="AX71" s="5" t="inlineStr"/>
      <c r="AY71" s="5" t="inlineStr"/>
      <c r="AZ71" s="5" t="inlineStr"/>
      <c r="BA71" s="5" t="inlineStr"/>
      <c r="BB71" s="5" t="inlineStr"/>
      <c r="BC71" s="5" t="inlineStr"/>
      <c r="BD71" s="5" t="n">
        <v>6262519</v>
      </c>
      <c r="BE71" s="5" t="inlineStr">
        <is>
          <t>10.1155/2020/6262519</t>
        </is>
      </c>
      <c r="BF71" s="5" t="n">
        <v>0</v>
      </c>
      <c r="BG71" s="5" t="inlineStr"/>
      <c r="BH71" s="5" t="inlineStr"/>
      <c r="BI71" s="5" t="inlineStr"/>
      <c r="BJ71" s="5" t="inlineStr"/>
      <c r="BK71" s="5" t="inlineStr"/>
      <c r="BL71" s="5" t="inlineStr"/>
      <c r="BM71" s="5" t="inlineStr"/>
      <c r="BN71" s="5" t="inlineStr"/>
      <c r="BO71" s="5" t="inlineStr"/>
      <c r="BP71" s="5" t="inlineStr"/>
      <c r="BQ71" s="5" t="inlineStr"/>
      <c r="BR71" s="5" t="inlineStr">
        <is>
          <t>2026-05-29</t>
        </is>
      </c>
      <c r="BS71" s="5" t="inlineStr">
        <is>
          <t>WOS:000540527800002</t>
        </is>
      </c>
      <c r="BT71" s="5" t="n">
        <v>0</v>
      </c>
      <c r="BU71">
        <f>COUNTIF('오픈소스&amp;직접수집'!F:F,'wos(corecollection)_260528'!BE71)</f>
        <v/>
      </c>
      <c r="BV71">
        <f>COUNTIF('오픈소스&amp;직접수집'!A:A,'wos(corecollection)_260528'!I71)</f>
        <v/>
      </c>
      <c r="BW71">
        <f>SUM(BU71:BV71)</f>
        <v/>
      </c>
    </row>
    <row r="72">
      <c r="A72" s="5" t="inlineStr">
        <is>
          <t>cyram 인용</t>
        </is>
      </c>
      <c r="B72" s="5" t="inlineStr">
        <is>
          <t>Cho, HJ; Lee, TJ</t>
        </is>
      </c>
      <c r="C72" s="5" t="inlineStr"/>
      <c r="D72" s="5" t="inlineStr"/>
      <c r="E72" s="5" t="inlineStr"/>
      <c r="F72" s="5" t="inlineStr">
        <is>
          <t>Cho, Heeran J.; Lee, Timothy J.</t>
        </is>
      </c>
      <c r="G72" s="5" t="inlineStr"/>
      <c r="H72" s="5" t="inlineStr"/>
      <c r="I72" s="5" t="inlineStr">
        <is>
          <t>Stakeholders in the medical trade: The case of South Korea's networks with China and the United States</t>
        </is>
      </c>
      <c r="J72" s="5" t="inlineStr">
        <is>
          <t>INTERNATIONAL JOURNAL OF TOURISM RESEARCH</t>
        </is>
      </c>
      <c r="K72" s="5" t="inlineStr"/>
      <c r="L72" s="5" t="inlineStr"/>
      <c r="M72" s="5" t="inlineStr"/>
      <c r="N72" s="5" t="inlineStr">
        <is>
          <t>Article</t>
        </is>
      </c>
      <c r="O72" s="5" t="inlineStr"/>
      <c r="P72" s="5" t="inlineStr"/>
      <c r="Q72" s="5" t="inlineStr"/>
      <c r="R72" s="5" t="inlineStr"/>
      <c r="S72" s="5" t="inlineStr"/>
      <c r="T72" s="5" t="inlineStr"/>
      <c r="U72" s="5" t="inlineStr"/>
      <c r="V72" s="5" t="inlineStr">
        <is>
          <t>This study analyzes the stakeholder networks that have developed in the medical tourism industry centered around South Korea. The network that 14 leading Korean medical tourism stakeholders have with China and the United States are investigated considering General Agreement on Trade in Services four modes and analyzed via social network analysis. The stakeholders of each mode with China and the United States depict relational structures that vary in their degree of similarity and disparity on the basis of their centralization. This study contributes to the literature by bringing order to and providing a structural framework for the network complexity of the medical trade in relation with the medical tourism industry.</t>
        </is>
      </c>
      <c r="W72" s="5" t="inlineStr">
        <is>
          <t>[Cho, Heeran J.] Yonsei Univ, Dept Publ Hlth Adm, Wonju, South Korea; [Lee, Timothy J.] Univ Sunshine Coast, USC Business Sch, Brisbane, Qld, Australia</t>
        </is>
      </c>
      <c r="X72" s="5" t="inlineStr"/>
      <c r="Y72" s="5" t="inlineStr">
        <is>
          <t>Lee, TJ (corresponding author), Univ Sunshine Coast, USC Business Sch, Business, Brisbane, Qld 4101, Australia.</t>
        </is>
      </c>
      <c r="Z72" s="5" t="inlineStr">
        <is>
          <t>tlee2@usc.edu.au</t>
        </is>
      </c>
      <c r="AA72" s="5" t="inlineStr"/>
      <c r="AB72" s="5" t="inlineStr"/>
      <c r="AC72" s="5" t="inlineStr"/>
      <c r="AD72" s="5" t="inlineStr"/>
      <c r="AE72" s="5" t="inlineStr"/>
      <c r="AF72" s="5" t="inlineStr"/>
      <c r="AG72" s="5" t="n">
        <v>48</v>
      </c>
      <c r="AH72" s="5" t="n">
        <v>15</v>
      </c>
      <c r="AI72" s="5" t="n">
        <v>15</v>
      </c>
      <c r="AJ72" s="5" t="inlineStr"/>
      <c r="AK72" s="5" t="inlineStr"/>
      <c r="AL72" s="5" t="inlineStr"/>
      <c r="AM72" s="5" t="inlineStr"/>
      <c r="AN72" s="5" t="inlineStr"/>
      <c r="AO72" s="5" t="inlineStr"/>
      <c r="AP72" s="5" t="inlineStr"/>
      <c r="AQ72" s="5" t="inlineStr"/>
      <c r="AR72" s="5" t="inlineStr"/>
      <c r="AS72" s="5" t="inlineStr"/>
      <c r="AT72" s="5" t="inlineStr">
        <is>
          <t>JUL</t>
        </is>
      </c>
      <c r="AU72" s="5" t="n">
        <v>2020</v>
      </c>
      <c r="AV72" s="5" t="n">
        <v>22</v>
      </c>
      <c r="AW72" s="5" t="n">
        <v>4</v>
      </c>
      <c r="AX72" s="5" t="inlineStr"/>
      <c r="AY72" s="5" t="inlineStr"/>
      <c r="AZ72" s="5" t="inlineStr"/>
      <c r="BA72" s="5" t="inlineStr"/>
      <c r="BB72" s="5" t="n">
        <v>416</v>
      </c>
      <c r="BC72" s="5" t="n">
        <v>424</v>
      </c>
      <c r="BD72" s="5" t="inlineStr"/>
      <c r="BE72" s="5" t="inlineStr">
        <is>
          <t>10.1002/jtr.2345</t>
        </is>
      </c>
      <c r="BF72" s="5" t="n">
        <v>0</v>
      </c>
      <c r="BG72" s="5" t="inlineStr"/>
      <c r="BH72" s="5" t="inlineStr">
        <is>
          <t>DEC 2019</t>
        </is>
      </c>
      <c r="BI72" s="5" t="inlineStr"/>
      <c r="BJ72" s="5" t="inlineStr"/>
      <c r="BK72" s="5" t="inlineStr"/>
      <c r="BL72" s="5" t="inlineStr"/>
      <c r="BM72" s="5" t="inlineStr"/>
      <c r="BN72" s="5" t="inlineStr"/>
      <c r="BO72" s="5" t="inlineStr"/>
      <c r="BP72" s="5" t="inlineStr"/>
      <c r="BQ72" s="5" t="inlineStr"/>
      <c r="BR72" s="5" t="inlineStr">
        <is>
          <t>2026-05-29</t>
        </is>
      </c>
      <c r="BS72" s="5" t="inlineStr">
        <is>
          <t>WOS:000504335800001</t>
        </is>
      </c>
      <c r="BT72" s="5" t="n">
        <v>0</v>
      </c>
      <c r="BU72">
        <f>COUNTIF('오픈소스&amp;직접수집'!F:F,'wos(corecollection)_260528'!BE72)</f>
        <v/>
      </c>
      <c r="BV72">
        <f>COUNTIF('오픈소스&amp;직접수집'!A:A,'wos(corecollection)_260528'!I72)</f>
        <v/>
      </c>
      <c r="BW72">
        <f>SUM(BU72:BV72)</f>
        <v/>
      </c>
    </row>
    <row r="73">
      <c r="A73" s="5" t="inlineStr">
        <is>
          <t>cyram 인용</t>
        </is>
      </c>
      <c r="B73" s="5" t="inlineStr">
        <is>
          <t>Kim, H; Chung, JK; Lee, MH</t>
        </is>
      </c>
      <c r="C73" s="5" t="inlineStr"/>
      <c r="D73" s="5" t="inlineStr"/>
      <c r="E73" s="5" t="inlineStr"/>
      <c r="F73" s="5" t="inlineStr">
        <is>
          <t>Kim, Hwanbae; Chung, Jae-Kyoung; Lee, Myeong-Hun</t>
        </is>
      </c>
      <c r="G73" s="5" t="inlineStr"/>
      <c r="H73" s="5" t="inlineStr"/>
      <c r="I73" s="5" t="inlineStr">
        <is>
          <t>Social Network Analysis of the Jangwi Urban Regeneration Community</t>
        </is>
      </c>
      <c r="J73" s="5" t="inlineStr">
        <is>
          <t>SUSTAINABILITY</t>
        </is>
      </c>
      <c r="K73" s="5" t="inlineStr"/>
      <c r="L73" s="5" t="inlineStr"/>
      <c r="M73" s="5" t="inlineStr"/>
      <c r="N73" s="5" t="inlineStr">
        <is>
          <t>Article</t>
        </is>
      </c>
      <c r="O73" s="5" t="inlineStr"/>
      <c r="P73" s="5" t="inlineStr"/>
      <c r="Q73" s="5" t="inlineStr"/>
      <c r="R73" s="5" t="inlineStr"/>
      <c r="S73" s="5" t="inlineStr"/>
      <c r="T73" s="5" t="inlineStr"/>
      <c r="U73" s="5" t="inlineStr"/>
      <c r="V73" s="5" t="inlineStr">
        <is>
          <t>The administrative turn to urban regeneration in South Korea prompts an examination into the social aspects of sustainability for project areas. This retrospective study used social network analysis (SNA) to compass the 2015-2018 formation of Jangwi urban regeneration community, with average degree, centralization, and efficiency for network level and degree for individual level. The study aimed to identify the network's structural characteristics in terms of relationships and social linkage. Average degree results note a rise in social exchange (2015: 0.609; 2018: 4.060), while the 2018 centralization value (&lt;0.5) and community efficiency indicate how such network communication is dependent on key influencers. Introduced is a visual and quantitative analysis method for community networks that may warrant urgent attention in the field of Korean urban regeneration, as it provides potential strategies for governments and administrations to accomplish sustainable and strategic goals.</t>
        </is>
      </c>
      <c r="W73" s="5" t="inlineStr">
        <is>
          <t>[Kim, Hwanbae] Hanyang Univ, Grad Sch, Dept Frontier Architectural &amp; Urban Environm Engn, 222 Wangsimni Ro, Seoul 04763, South Korea; [Chung, Jae-Kyoung; Lee, Myeong-Hun] Hanyang Univ, Grad Sch Urban Studies, 222 Wangsimni Ro, Seoul 04763, South Korea</t>
        </is>
      </c>
      <c r="X73" s="5" t="inlineStr"/>
      <c r="Y73" s="5" t="inlineStr">
        <is>
          <t>Kim, H (corresponding author), Hanyang Univ, Grad Sch, Dept Frontier Architectural &amp; Urban Environm Engn, 222 Wangsimni Ro, Seoul 04763, South Korea.;Lee, MH (corresponding author), Hanyang Univ, Grad Sch Urban Studies, 222 Wangsimni Ro, Seoul 04763, South Korea.</t>
        </is>
      </c>
      <c r="Z73" s="5" t="inlineStr">
        <is>
          <t>hb1370@hotmail.com; mhlee99@hanyang.ac.kr</t>
        </is>
      </c>
      <c r="AA73" s="5" t="inlineStr"/>
      <c r="AB73" s="5" t="inlineStr"/>
      <c r="AC73" s="5" t="inlineStr"/>
      <c r="AD73" s="5" t="inlineStr"/>
      <c r="AE73" s="5" t="inlineStr"/>
      <c r="AF73" s="5" t="inlineStr"/>
      <c r="AG73" s="5" t="n">
        <v>49</v>
      </c>
      <c r="AH73" s="5" t="n">
        <v>5</v>
      </c>
      <c r="AI73" s="5" t="n">
        <v>7</v>
      </c>
      <c r="AJ73" s="5" t="inlineStr"/>
      <c r="AK73" s="5" t="inlineStr"/>
      <c r="AL73" s="5" t="inlineStr"/>
      <c r="AM73" s="5" t="inlineStr"/>
      <c r="AN73" s="5" t="inlineStr"/>
      <c r="AO73" s="5" t="inlineStr"/>
      <c r="AP73" s="5" t="inlineStr"/>
      <c r="AQ73" s="5" t="inlineStr"/>
      <c r="AR73" s="5" t="inlineStr"/>
      <c r="AS73" s="5" t="inlineStr"/>
      <c r="AT73" s="5" t="inlineStr">
        <is>
          <t>AUG</t>
        </is>
      </c>
      <c r="AU73" s="5" t="n">
        <v>2019</v>
      </c>
      <c r="AV73" s="5" t="n">
        <v>11</v>
      </c>
      <c r="AW73" s="5" t="n">
        <v>15</v>
      </c>
      <c r="AX73" s="5" t="inlineStr"/>
      <c r="AY73" s="5" t="inlineStr"/>
      <c r="AZ73" s="5" t="inlineStr"/>
      <c r="BA73" s="5" t="inlineStr"/>
      <c r="BB73" s="5" t="inlineStr"/>
      <c r="BC73" s="5" t="inlineStr"/>
      <c r="BD73" s="5" t="n">
        <v>4185</v>
      </c>
      <c r="BE73" s="5" t="inlineStr">
        <is>
          <t>10.3390/su11154185</t>
        </is>
      </c>
      <c r="BF73" s="5" t="n">
        <v>0</v>
      </c>
      <c r="BG73" s="5" t="inlineStr"/>
      <c r="BH73" s="5" t="inlineStr"/>
      <c r="BI73" s="5" t="inlineStr"/>
      <c r="BJ73" s="5" t="inlineStr"/>
      <c r="BK73" s="5" t="inlineStr"/>
      <c r="BL73" s="5" t="inlineStr"/>
      <c r="BM73" s="5" t="inlineStr"/>
      <c r="BN73" s="5" t="inlineStr"/>
      <c r="BO73" s="5" t="inlineStr"/>
      <c r="BP73" s="5" t="inlineStr"/>
      <c r="BQ73" s="5" t="inlineStr"/>
      <c r="BR73" s="5" t="inlineStr">
        <is>
          <t>2026-05-29</t>
        </is>
      </c>
      <c r="BS73" s="5" t="inlineStr">
        <is>
          <t>WOS:000485230200190</t>
        </is>
      </c>
      <c r="BT73" s="5" t="n">
        <v>0</v>
      </c>
      <c r="BU73">
        <f>COUNTIF('오픈소스&amp;직접수집'!F:F,'wos(corecollection)_260528'!BE73)</f>
        <v/>
      </c>
      <c r="BV73">
        <f>COUNTIF('오픈소스&amp;직접수집'!A:A,'wos(corecollection)_260528'!I73)</f>
        <v/>
      </c>
      <c r="BW73">
        <f>SUM(BU73:BV73)</f>
        <v/>
      </c>
    </row>
    <row r="74">
      <c r="A74" s="5" t="inlineStr">
        <is>
          <t>cyram 인용</t>
        </is>
      </c>
      <c r="B74" s="5" t="inlineStr">
        <is>
          <t>Kim, KJ; Ahn, H</t>
        </is>
      </c>
      <c r="C74" s="5" t="inlineStr"/>
      <c r="D74" s="5" t="inlineStr"/>
      <c r="E74" s="5" t="inlineStr"/>
      <c r="F74" s="5" t="inlineStr">
        <is>
          <t>Kim, Kyoung-jae; Ahn, Hyunchul</t>
        </is>
      </c>
      <c r="G74" s="5" t="inlineStr"/>
      <c r="H74" s="5" t="inlineStr"/>
      <c r="I74" s="5" t="inlineStr">
        <is>
          <t>Recommender systems using cluster-indexing collaborative filtering and social data analytics</t>
        </is>
      </c>
      <c r="J74" s="5" t="inlineStr">
        <is>
          <t>INTERNATIONAL JOURNAL OF PRODUCTION RESEARCH</t>
        </is>
      </c>
      <c r="K74" s="5" t="inlineStr"/>
      <c r="L74" s="5" t="inlineStr"/>
      <c r="M74" s="5" t="inlineStr"/>
      <c r="N74" s="5" t="inlineStr">
        <is>
          <t>Article</t>
        </is>
      </c>
      <c r="O74" s="5" t="inlineStr"/>
      <c r="P74" s="5" t="inlineStr"/>
      <c r="Q74" s="5" t="inlineStr"/>
      <c r="R74" s="5" t="inlineStr"/>
      <c r="S74" s="5" t="inlineStr"/>
      <c r="T74" s="5" t="inlineStr"/>
      <c r="U74" s="5" t="inlineStr"/>
      <c r="V74" s="5" t="inlineStr">
        <is>
          <t>As a result of the extensive variety of products available in e-commerce settings during the last decade, recommender systems have been highlighted as a means of mitigating the problem of information overload. Collaborative filtering (CF) is the most widely used algorithm to build such systems, and improving the predictive accuracy of CF-based recommender systems has been a major research challenge. This research aims to improve the prediction accuracy of CF by incorporating social network analysis (SNA) and clustering techniques. Our proposed model identifies the most influential people in an online social network by SNA and then conducts clustering analysis using these people as initial centroids (cluster centres). Finally, the model makes recommendations using cluster-indexing CF based on the clustering outcomes. In this step, our model adjusts the effect of neighbours in the same cluster as the target user to improve prediction accuracy by reflecting hidden information about his or her social community. The experimental results indicate that the proposed model outperforms other comparison models, including conventional CF, with statistical significance.</t>
        </is>
      </c>
      <c r="W74" s="5" t="inlineStr">
        <is>
          <t>[Kim, Kyoung-jae] Dongguk Univ Seoul, Business Sch, Seoul, South Korea; [Ahn, Hyunchul] Kookmin Univ, Grad Sch Business IT, Seoul, South Korea</t>
        </is>
      </c>
      <c r="X74" s="5" t="inlineStr"/>
      <c r="Y74" s="5" t="inlineStr">
        <is>
          <t>Ahn, H (corresponding author), Kookmin Univ, Grad Sch Business IT, Seoul, South Korea.</t>
        </is>
      </c>
      <c r="Z74" s="5" t="inlineStr">
        <is>
          <t>hcahn@kookmin.ac.kr</t>
        </is>
      </c>
      <c r="AA74" s="5" t="inlineStr"/>
      <c r="AB74" s="5" t="inlineStr"/>
      <c r="AC74" s="5" t="inlineStr"/>
      <c r="AD74" s="5" t="inlineStr"/>
      <c r="AE74" s="5" t="inlineStr"/>
      <c r="AF74" s="5" t="inlineStr"/>
      <c r="AG74" s="5" t="n">
        <v>55</v>
      </c>
      <c r="AH74" s="5" t="n">
        <v>18</v>
      </c>
      <c r="AI74" s="5" t="n">
        <v>20</v>
      </c>
      <c r="AJ74" s="5" t="inlineStr"/>
      <c r="AK74" s="5" t="inlineStr"/>
      <c r="AL74" s="5" t="inlineStr"/>
      <c r="AM74" s="5" t="inlineStr"/>
      <c r="AN74" s="5" t="inlineStr"/>
      <c r="AO74" s="5" t="inlineStr"/>
      <c r="AP74" s="5" t="inlineStr"/>
      <c r="AQ74" s="5" t="inlineStr"/>
      <c r="AR74" s="5" t="inlineStr"/>
      <c r="AS74" s="5" t="inlineStr"/>
      <c r="AT74" s="5" t="inlineStr"/>
      <c r="AU74" s="5" t="n">
        <v>2017</v>
      </c>
      <c r="AV74" s="5" t="n">
        <v>55</v>
      </c>
      <c r="AW74" s="5" t="n">
        <v>17</v>
      </c>
      <c r="AX74" s="5" t="inlineStr"/>
      <c r="AY74" s="5" t="inlineStr"/>
      <c r="AZ74" s="5" t="inlineStr"/>
      <c r="BA74" s="5" t="inlineStr"/>
      <c r="BB74" s="5" t="n">
        <v>5037</v>
      </c>
      <c r="BC74" s="5" t="n">
        <v>5049</v>
      </c>
      <c r="BD74" s="5" t="inlineStr"/>
      <c r="BE74" s="5" t="inlineStr">
        <is>
          <t>10.1080/00207543.2017.1287443</t>
        </is>
      </c>
      <c r="BF74" s="5" t="n">
        <v>0</v>
      </c>
      <c r="BG74" s="5" t="inlineStr"/>
      <c r="BH74" s="5" t="inlineStr"/>
      <c r="BI74" s="5" t="inlineStr"/>
      <c r="BJ74" s="5" t="inlineStr"/>
      <c r="BK74" s="5" t="inlineStr"/>
      <c r="BL74" s="5" t="inlineStr"/>
      <c r="BM74" s="5" t="inlineStr"/>
      <c r="BN74" s="5" t="inlineStr"/>
      <c r="BO74" s="5" t="inlineStr"/>
      <c r="BP74" s="5" t="inlineStr"/>
      <c r="BQ74" s="5" t="inlineStr"/>
      <c r="BR74" s="5" t="inlineStr">
        <is>
          <t>2026-05-29</t>
        </is>
      </c>
      <c r="BS74" s="5" t="inlineStr">
        <is>
          <t>WOS:000404671500015</t>
        </is>
      </c>
      <c r="BT74" s="5" t="n">
        <v>0</v>
      </c>
      <c r="BU74">
        <f>COUNTIF('오픈소스&amp;직접수집'!F:F,'wos(corecollection)_260528'!BE74)</f>
        <v/>
      </c>
      <c r="BV74">
        <f>COUNTIF('오픈소스&amp;직접수집'!A:A,'wos(corecollection)_260528'!I74)</f>
        <v/>
      </c>
      <c r="BW74">
        <f>SUM(BU74:BV74)</f>
        <v/>
      </c>
    </row>
    <row r="75">
      <c r="A75" s="5" t="inlineStr">
        <is>
          <t>cyram 인용</t>
        </is>
      </c>
      <c r="B75" s="5" t="inlineStr">
        <is>
          <t>Lock, MJ; Stephenson, AL; Branford, J; Roche, J; Edwards, MS; Ryan, K</t>
        </is>
      </c>
      <c r="C75" s="5" t="inlineStr"/>
      <c r="D75" s="5" t="inlineStr"/>
      <c r="E75" s="5" t="inlineStr"/>
      <c r="F75" s="5" t="inlineStr">
        <is>
          <t>Lock, Mark J.; Stephenson, Amber L.; Branford, Jill; Roche, Jonathan; Edwards, Marissa S.; Ryan, Kathleen</t>
        </is>
      </c>
      <c r="G75" s="5" t="inlineStr"/>
      <c r="H75" s="5" t="inlineStr"/>
      <c r="I75" s="5" t="inlineStr">
        <is>
          <t>Voice of the Clinician: the case of an Australian health system</t>
        </is>
      </c>
      <c r="J75" s="5" t="inlineStr">
        <is>
          <t>JOURNAL OF HEALTH ORGANIZATION AND MANAGEMENT</t>
        </is>
      </c>
      <c r="K75" s="5" t="inlineStr"/>
      <c r="L75" s="5" t="inlineStr"/>
      <c r="M75" s="5" t="inlineStr"/>
      <c r="N75" s="5" t="inlineStr">
        <is>
          <t>Article</t>
        </is>
      </c>
      <c r="O75" s="5" t="inlineStr"/>
      <c r="P75" s="5" t="inlineStr"/>
      <c r="Q75" s="5" t="inlineStr"/>
      <c r="R75" s="5" t="inlineStr"/>
      <c r="S75" s="5" t="inlineStr"/>
      <c r="T75" s="5" t="inlineStr"/>
      <c r="U75" s="5" t="inlineStr"/>
      <c r="V75" s="5" t="inlineStr">
        <is>
          <t>Purpose - The Voice of the Clinician project commenced during an era when practitioner burnout, dissatisfaction, and turnover became an increasingly global health workforce concern. One key problem is clinical staff not being empowered to voice their concerns to decision-makers, as was found in this case study of an Australian public health organization. The following research question informed the present study: What is a better committee system for clinician engagement in decision-making processes? The paper aims to discuss this issue. Design/methodology/approach - The Mid North Coast Local Health District in New South Wales aspired to improve engagement between frontline clinicians and decision-makers. Social network analysis methods and mathematical modeling were used in the discovery of how committees are connected to each other and subsequently to other committee members. Findings - This effort uncovered a hidden organizational architecture of 323 committees of 926 members which overall cost 84,729 person hours and AUD$2.923 million per annum. Furthermore, frontline clinicians were located far from centers of influence, just 37 percent of committees had terms of reference, and clinicians reported that meeting agendas were not being met. Practical implications - In response to the findings, a technological platform was created so that the board of directors could visually see all the committees and the connections between them, thus creating ways to further improve communication, transparency of process, and - ultimately - clinician engagement. Originality/value - The breakthrough idea is that all organizational meetings can be seen as a system of engagement and should be analyzed to determine and describe the points and pathways where clinician voice is blocked.</t>
        </is>
      </c>
      <c r="W75" s="5" t="inlineStr">
        <is>
          <t>[Lock, Mark J.] Committix Pty Ltd, Newcastle, NSW, Australia; [Stephenson, Amber L.] Clarkson Univ, Sch Business, Schenectady, NY USA; [Branford, Jill; Ryan, Kathleen] Mid North Coast Local Hlth Dist, Coffs Harbour, Australia; [Roche, Jonathan] Mid North Coast Local Hlth Dist, Clin Governance Unit, Coffs Harbour, Australia; [Edwards, Marissa S.] Univ Queensland, UQ Business Sch, Brisbane, Qld, Australia</t>
        </is>
      </c>
      <c r="X75" s="5" t="inlineStr"/>
      <c r="Y75" s="5" t="inlineStr">
        <is>
          <t>Lock, MJ (corresponding author), Committix Pty Ltd, Newcastle, NSW, Australia.</t>
        </is>
      </c>
      <c r="Z75" s="5" t="inlineStr">
        <is>
          <t>marklock@committix.com.au</t>
        </is>
      </c>
      <c r="AA75" s="5" t="inlineStr"/>
      <c r="AB75" s="5" t="inlineStr"/>
      <c r="AC75" s="5" t="inlineStr"/>
      <c r="AD75" s="5" t="inlineStr"/>
      <c r="AE75" s="5" t="inlineStr"/>
      <c r="AF75" s="5" t="inlineStr"/>
      <c r="AG75" s="5" t="n">
        <v>43</v>
      </c>
      <c r="AH75" s="5" t="n">
        <v>4</v>
      </c>
      <c r="AI75" s="5" t="n">
        <v>4</v>
      </c>
      <c r="AJ75" s="5" t="inlineStr"/>
      <c r="AK75" s="5" t="inlineStr"/>
      <c r="AL75" s="5" t="inlineStr"/>
      <c r="AM75" s="5" t="inlineStr"/>
      <c r="AN75" s="5" t="inlineStr"/>
      <c r="AO75" s="5" t="inlineStr"/>
      <c r="AP75" s="5" t="inlineStr"/>
      <c r="AQ75" s="5" t="inlineStr"/>
      <c r="AR75" s="5" t="inlineStr"/>
      <c r="AS75" s="5" t="inlineStr"/>
      <c r="AT75" s="5" t="inlineStr"/>
      <c r="AU75" s="5" t="n">
        <v>2017</v>
      </c>
      <c r="AV75" s="5" t="n">
        <v>31</v>
      </c>
      <c r="AW75" s="5" t="n">
        <v>6</v>
      </c>
      <c r="AX75" s="5" t="inlineStr"/>
      <c r="AY75" s="5" t="inlineStr"/>
      <c r="AZ75" s="5" t="inlineStr"/>
      <c r="BA75" s="5" t="inlineStr"/>
      <c r="BB75" s="5" t="n">
        <v>665</v>
      </c>
      <c r="BC75" s="5" t="n">
        <v>678</v>
      </c>
      <c r="BD75" s="5" t="inlineStr"/>
      <c r="BE75" s="5" t="inlineStr">
        <is>
          <t>10.1108/JHOM-05-2017-0113</t>
        </is>
      </c>
      <c r="BF75" s="5" t="n">
        <v>0</v>
      </c>
      <c r="BG75" s="5" t="inlineStr"/>
      <c r="BH75" s="5" t="inlineStr"/>
      <c r="BI75" s="5" t="inlineStr"/>
      <c r="BJ75" s="5" t="inlineStr"/>
      <c r="BK75" s="5" t="inlineStr"/>
      <c r="BL75" s="5" t="inlineStr"/>
      <c r="BM75" s="5" t="inlineStr"/>
      <c r="BN75" s="5" t="inlineStr"/>
      <c r="BO75" s="5" t="inlineStr"/>
      <c r="BP75" s="5" t="inlineStr"/>
      <c r="BQ75" s="5" t="inlineStr"/>
      <c r="BR75" s="5" t="inlineStr">
        <is>
          <t>2026-05-29</t>
        </is>
      </c>
      <c r="BS75" s="5" t="inlineStr">
        <is>
          <t>WOS:000413094400004</t>
        </is>
      </c>
      <c r="BT75" s="5" t="n">
        <v>0</v>
      </c>
      <c r="BU75">
        <f>COUNTIF('오픈소스&amp;직접수집'!F:F,'wos(corecollection)_260528'!BE75)</f>
        <v/>
      </c>
      <c r="BV75">
        <f>COUNTIF('오픈소스&amp;직접수집'!A:A,'wos(corecollection)_260528'!I75)</f>
        <v/>
      </c>
      <c r="BW75">
        <f>SUM(BU75:BV75)</f>
        <v/>
      </c>
    </row>
    <row r="76">
      <c r="A76" s="5" t="inlineStr">
        <is>
          <t>cyram 인용</t>
        </is>
      </c>
      <c r="B76" s="5" t="inlineStr">
        <is>
          <t>Lee, YS; Kim, JJ; Lee, TS</t>
        </is>
      </c>
      <c r="C76" s="5" t="inlineStr"/>
      <c r="D76" s="5" t="inlineStr"/>
      <c r="E76" s="5" t="inlineStr"/>
      <c r="F76" s="5" t="inlineStr">
        <is>
          <t>Lee, Yoon-Sun; Kim, Jae-Jun; Lee, Tai Sik</t>
        </is>
      </c>
      <c r="G76" s="5" t="inlineStr"/>
      <c r="H76" s="5" t="inlineStr"/>
      <c r="I76" s="5" t="inlineStr">
        <is>
          <t>Topological Competiveness Based on Social Relationships in the Korean Construction-Management Industry</t>
        </is>
      </c>
      <c r="J76" s="5" t="inlineStr">
        <is>
          <t>JOURNAL OF CONSTRUCTION ENGINEERING AND MANAGEMENT</t>
        </is>
      </c>
      <c r="K76" s="5" t="inlineStr"/>
      <c r="L76" s="5" t="inlineStr"/>
      <c r="M76" s="5" t="inlineStr"/>
      <c r="N76" s="5" t="inlineStr">
        <is>
          <t>Article</t>
        </is>
      </c>
      <c r="O76" s="5" t="inlineStr"/>
      <c r="P76" s="5" t="inlineStr"/>
      <c r="Q76" s="5" t="inlineStr"/>
      <c r="R76" s="5" t="inlineStr"/>
      <c r="S76" s="5" t="inlineStr"/>
      <c r="T76" s="5" t="inlineStr"/>
      <c r="U76" s="5" t="inlineStr"/>
      <c r="V76" s="5" t="inlineStr">
        <is>
          <t>A recent study reported that the construction management market has grown more competitive. In this environment, identifying a company's competitive position enables a study of competitor strategies and the ability to select the most suitable path to profitability. This study suggests a methodology to analyze topological competiveness based on social relationships between firms modeled according to four subnetworks: Joint contract networks linked directly between firms, public and private networks linked indirectly by owners, and building and civil networks linked indirectly by work type. This study proposes an analytical framework measuring topological competiveness from four perspectives: The network topology among each subnetwork, centralities and structural positions among the firms, cohesive subgroups and strong relations in the subnetwork, and the structural equivalence among firms. Using 2,984 cases of Korean construction management projects from 1997 to 2013, an empirical analysis of topological competiveness validated the methodology to diagnose competitiveness and select the most suitable relationships with competitors to create company growth.</t>
        </is>
      </c>
      <c r="W76" s="5" t="inlineStr">
        <is>
          <t>[Lee, Yoon-Sun] Hanyang Univ, Int Space Explorat Res Inst, Ansan 15588, South Korea; [Kim, Jae-Jun] Hanyang Univ, Dept Architectural Engn, Seoul 04763, South Korea; [Lee, Tai Sik] Korea Inst Civil Engn &amp; Bldg Technol, Ilsan 10223, South Korea</t>
        </is>
      </c>
      <c r="X76" s="5" t="inlineStr"/>
      <c r="Y76" s="5" t="inlineStr">
        <is>
          <t>Kim, JJ (corresponding author), Hanyang Univ, Dept Architectural Engn, Seoul 04763, South Korea.</t>
        </is>
      </c>
      <c r="Z76" s="5" t="inlineStr">
        <is>
          <t>jjkim@hanyang.ac.kr</t>
        </is>
      </c>
      <c r="AA76" s="5" t="inlineStr"/>
      <c r="AB76" s="5" t="inlineStr"/>
      <c r="AC76" s="5" t="inlineStr"/>
      <c r="AD76" s="5" t="inlineStr"/>
      <c r="AE76" s="5" t="inlineStr"/>
      <c r="AF76" s="5" t="inlineStr"/>
      <c r="AG76" s="5" t="n">
        <v>56</v>
      </c>
      <c r="AH76" s="5" t="n">
        <v>21</v>
      </c>
      <c r="AI76" s="5" t="n">
        <v>22</v>
      </c>
      <c r="AJ76" s="5" t="inlineStr"/>
      <c r="AK76" s="5" t="inlineStr"/>
      <c r="AL76" s="5" t="inlineStr"/>
      <c r="AM76" s="5" t="inlineStr"/>
      <c r="AN76" s="5" t="inlineStr"/>
      <c r="AO76" s="5" t="inlineStr"/>
      <c r="AP76" s="5" t="inlineStr"/>
      <c r="AQ76" s="5" t="inlineStr"/>
      <c r="AR76" s="5" t="inlineStr"/>
      <c r="AS76" s="5" t="inlineStr"/>
      <c r="AT76" s="5" t="inlineStr">
        <is>
          <t>NOV</t>
        </is>
      </c>
      <c r="AU76" s="5" t="n">
        <v>2016</v>
      </c>
      <c r="AV76" s="5" t="n">
        <v>142</v>
      </c>
      <c r="AW76" s="5" t="n">
        <v>11</v>
      </c>
      <c r="AX76" s="5" t="inlineStr"/>
      <c r="AY76" s="5" t="inlineStr"/>
      <c r="AZ76" s="5" t="inlineStr"/>
      <c r="BA76" s="5" t="inlineStr"/>
      <c r="BB76" s="5" t="inlineStr"/>
      <c r="BC76" s="5" t="inlineStr"/>
      <c r="BD76" s="5" t="n">
        <v>5016014</v>
      </c>
      <c r="BE76" s="5" t="inlineStr">
        <is>
          <t>10.1061/(ASCE)CO.1943-7862.0001175</t>
        </is>
      </c>
      <c r="BF76" s="5" t="n">
        <v>0</v>
      </c>
      <c r="BG76" s="5" t="inlineStr"/>
      <c r="BH76" s="5" t="inlineStr"/>
      <c r="BI76" s="5" t="inlineStr"/>
      <c r="BJ76" s="5" t="inlineStr"/>
      <c r="BK76" s="5" t="inlineStr"/>
      <c r="BL76" s="5" t="inlineStr"/>
      <c r="BM76" s="5" t="inlineStr"/>
      <c r="BN76" s="5" t="inlineStr"/>
      <c r="BO76" s="5" t="inlineStr"/>
      <c r="BP76" s="5" t="inlineStr"/>
      <c r="BQ76" s="5" t="inlineStr"/>
      <c r="BR76" s="5" t="inlineStr">
        <is>
          <t>2026-05-29</t>
        </is>
      </c>
      <c r="BS76" s="5" t="inlineStr">
        <is>
          <t>WOS:000386357000005</t>
        </is>
      </c>
      <c r="BT76" s="5" t="n">
        <v>0</v>
      </c>
      <c r="BU76">
        <f>COUNTIF('오픈소스&amp;직접수집'!F:F,'wos(corecollection)_260528'!BE76)</f>
        <v/>
      </c>
      <c r="BV76">
        <f>COUNTIF('오픈소스&amp;직접수집'!A:A,'wos(corecollection)_260528'!I76)</f>
        <v/>
      </c>
      <c r="BW76">
        <f>SUM(BU76:BV76)</f>
        <v/>
      </c>
    </row>
    <row r="77">
      <c r="A77" s="5" t="inlineStr">
        <is>
          <t>cyram 인용</t>
        </is>
      </c>
      <c r="B77" s="5" t="inlineStr">
        <is>
          <t>Ramírez, JM</t>
        </is>
      </c>
      <c r="C77" s="5" t="inlineStr"/>
      <c r="D77" s="5" t="inlineStr"/>
      <c r="E77" s="5" t="inlineStr"/>
      <c r="F77" s="5" t="inlineStr">
        <is>
          <t>Machin Ramirez, Juan</t>
        </is>
      </c>
      <c r="G77" s="5" t="inlineStr"/>
      <c r="H77" s="5" t="inlineStr"/>
      <c r="I77" s="5" t="inlineStr">
        <is>
          <t>American Network for Intervention in Situations of Social Suffering (RAISSS): A Case Study of a Civil Society Organization Network</t>
        </is>
      </c>
      <c r="J77" s="5" t="inlineStr">
        <is>
          <t>VOLUNTAS</t>
        </is>
      </c>
      <c r="K77" s="5" t="inlineStr"/>
      <c r="L77" s="5" t="inlineStr"/>
      <c r="M77" s="5" t="inlineStr"/>
      <c r="N77" s="5" t="inlineStr">
        <is>
          <t>Article</t>
        </is>
      </c>
      <c r="O77" s="5" t="inlineStr"/>
      <c r="P77" s="5" t="inlineStr"/>
      <c r="Q77" s="5" t="inlineStr"/>
      <c r="R77" s="5" t="inlineStr"/>
      <c r="S77" s="5" t="inlineStr"/>
      <c r="T77" s="5" t="inlineStr"/>
      <c r="U77" s="5" t="inlineStr"/>
      <c r="V77" s="5" t="inlineStr">
        <is>
          <t>The civil society organizations networks in the Latin American region are increasingly participating in the public policy advocacy. There are many studies that address them, but they do it through more in qualitative methodological approaches but there are few analyzed from a social network analysis approach. We present a case study that analyzes the American Network for Intervention in Situations of Social Suffering (Red Americana de Intervencin en Situaciones de Sufrimiento Social, RAISSS), a transnational network of civil society networks from 15 Latin American countries that work with the same meta-model, called ECO2, to promote social inclusion and public policy advocacy.</t>
        </is>
      </c>
      <c r="W77" s="5" t="inlineStr">
        <is>
          <t>[Machin Ramirez, Juan] Invierno17,Col Merced Gomez, Mexico City 01600, DF, Mexico; [Machin Ramirez, Juan] Caritas Format Ctr Attent Pharmacodependency &amp; As, Mexico City, DF, Mexico</t>
        </is>
      </c>
      <c r="X77" s="5" t="inlineStr"/>
      <c r="Y77" s="5" t="inlineStr">
        <is>
          <t>Ramírez, JM (corresponding author), Invierno17,Col Merced Gomez, Mexico City 01600, DF, Mexico.;Ramírez, JM (corresponding author), Caritas Format Ctr Attent Pharmacodependency &amp; As, Mexico City, DF, Mexico.</t>
        </is>
      </c>
      <c r="Z77" s="5" t="inlineStr">
        <is>
          <t>jmachin85@gmail.com</t>
        </is>
      </c>
      <c r="AA77" s="5" t="inlineStr"/>
      <c r="AB77" s="5" t="inlineStr"/>
      <c r="AC77" s="5" t="inlineStr"/>
      <c r="AD77" s="5" t="inlineStr"/>
      <c r="AE77" s="5" t="inlineStr"/>
      <c r="AF77" s="5" t="inlineStr"/>
      <c r="AG77" s="5" t="n">
        <v>38</v>
      </c>
      <c r="AH77" s="5" t="n">
        <v>1</v>
      </c>
      <c r="AI77" s="5" t="n">
        <v>2</v>
      </c>
      <c r="AJ77" s="5" t="inlineStr"/>
      <c r="AK77" s="5" t="inlineStr"/>
      <c r="AL77" s="5" t="inlineStr"/>
      <c r="AM77" s="5" t="inlineStr"/>
      <c r="AN77" s="5" t="inlineStr"/>
      <c r="AO77" s="5" t="inlineStr"/>
      <c r="AP77" s="5" t="inlineStr"/>
      <c r="AQ77" s="5" t="inlineStr"/>
      <c r="AR77" s="5" t="inlineStr"/>
      <c r="AS77" s="5" t="inlineStr"/>
      <c r="AT77" s="5" t="inlineStr">
        <is>
          <t>FEB</t>
        </is>
      </c>
      <c r="AU77" s="5" t="n">
        <v>2016</v>
      </c>
      <c r="AV77" s="5" t="n">
        <v>27</v>
      </c>
      <c r="AW77" s="5" t="n">
        <v>1</v>
      </c>
      <c r="AX77" s="5" t="inlineStr"/>
      <c r="AY77" s="5" t="inlineStr"/>
      <c r="AZ77" s="5" t="inlineStr"/>
      <c r="BA77" s="5" t="inlineStr"/>
      <c r="BB77" s="5" t="n">
        <v>209</v>
      </c>
      <c r="BC77" s="5" t="n">
        <v>221</v>
      </c>
      <c r="BD77" s="5" t="inlineStr"/>
      <c r="BE77" s="5" t="inlineStr">
        <is>
          <t>10.1007/s11266-015-9563-5</t>
        </is>
      </c>
      <c r="BF77" s="5" t="n">
        <v>0</v>
      </c>
      <c r="BG77" s="5" t="inlineStr"/>
      <c r="BH77" s="5" t="inlineStr"/>
      <c r="BI77" s="5" t="inlineStr"/>
      <c r="BJ77" s="5" t="inlineStr"/>
      <c r="BK77" s="5" t="inlineStr"/>
      <c r="BL77" s="5" t="inlineStr"/>
      <c r="BM77" s="5" t="inlineStr"/>
      <c r="BN77" s="5" t="inlineStr"/>
      <c r="BO77" s="5" t="inlineStr"/>
      <c r="BP77" s="5" t="inlineStr"/>
      <c r="BQ77" s="5" t="inlineStr"/>
      <c r="BR77" s="5" t="inlineStr">
        <is>
          <t>2026-05-29</t>
        </is>
      </c>
      <c r="BS77" s="5" t="inlineStr">
        <is>
          <t>WOS:000368711700011</t>
        </is>
      </c>
      <c r="BT77" s="5" t="n">
        <v>0</v>
      </c>
      <c r="BU77">
        <f>COUNTIF('오픈소스&amp;직접수집'!F:F,'wos(corecollection)_260528'!BE77)</f>
        <v/>
      </c>
      <c r="BV77">
        <f>COUNTIF('오픈소스&amp;직접수집'!A:A,'wos(corecollection)_260528'!I77)</f>
        <v/>
      </c>
      <c r="BW77">
        <f>SUM(BU77:BV77)</f>
        <v/>
      </c>
    </row>
    <row r="78">
      <c r="A78" s="5" t="inlineStr">
        <is>
          <t>cyram 인용</t>
        </is>
      </c>
      <c r="B78" s="5" t="inlineStr">
        <is>
          <t>Breznik, K</t>
        </is>
      </c>
      <c r="C78" s="5" t="inlineStr"/>
      <c r="D78" s="5" t="inlineStr"/>
      <c r="E78" s="5" t="inlineStr"/>
      <c r="F78" s="5" t="inlineStr">
        <is>
          <t>Breznik, Kristijan</t>
        </is>
      </c>
      <c r="G78" s="5" t="inlineStr"/>
      <c r="H78" s="5" t="inlineStr"/>
      <c r="I78" s="5" t="inlineStr">
        <is>
          <t>Using social network analysis to identify innovation clusters</t>
        </is>
      </c>
      <c r="J78" s="5" t="inlineStr">
        <is>
          <t>INTERNATIONAL JOURNAL OF INNOVATION AND LEARNING</t>
        </is>
      </c>
      <c r="K78" s="5" t="inlineStr"/>
      <c r="L78" s="5" t="inlineStr"/>
      <c r="M78" s="5" t="inlineStr"/>
      <c r="N78" s="5" t="inlineStr">
        <is>
          <t>Article</t>
        </is>
      </c>
      <c r="O78" s="5" t="inlineStr"/>
      <c r="P78" s="5" t="inlineStr"/>
      <c r="Q78" s="5" t="inlineStr"/>
      <c r="R78" s="5" t="inlineStr"/>
      <c r="S78" s="5" t="inlineStr"/>
      <c r="T78" s="5" t="inlineStr"/>
      <c r="U78" s="5" t="inlineStr"/>
      <c r="V78" s="5" t="inlineStr">
        <is>
          <t>The government of the Republic of Slovenia encourages the cooperation between organisations with three types of research centres: competence centres, centres of excellence, and development centres. These three types of networking mechanisms together with research organisations generate two-mode network. With the information obtained from the membership in the networking mechanisms, we constructed weighted and undirected one-mode network of Slovenian research organisations. Furthermore, we instructively provided the methodology which was applied to: establish the innovation one-mode network, obtain the innovation clusters, and classify actors-units (research organisations) in the resulting clusters. The following three centrality measures were used in the paper: degree, betweenness and closeness. In this way, the most important Slovenian research organisations in the field of innovation and knowledge production were revealed. Results confirm two significant indicators in Slovenian research development, regional affiliation and industrial sector membership.</t>
        </is>
      </c>
      <c r="W78" s="5" t="inlineStr">
        <is>
          <t>[Breznik, Kristijan] Int Sch Social &amp; Business Studies, 7 Mariborska Cesta, Celje 3000, Slovenia</t>
        </is>
      </c>
      <c r="X78" s="5" t="inlineStr"/>
      <c r="Y78" s="5" t="inlineStr">
        <is>
          <t>Breznik, K (corresponding author), Int Sch Social &amp; Business Studies, 7 Mariborska Cesta, Celje 3000, Slovenia.</t>
        </is>
      </c>
      <c r="Z78" s="5" t="inlineStr">
        <is>
          <t>kristijan.breznik@mfdps.si</t>
        </is>
      </c>
      <c r="AA78" s="5" t="inlineStr"/>
      <c r="AB78" s="5" t="inlineStr"/>
      <c r="AC78" s="5" t="inlineStr"/>
      <c r="AD78" s="5" t="inlineStr"/>
      <c r="AE78" s="5" t="inlineStr"/>
      <c r="AF78" s="5" t="inlineStr"/>
      <c r="AG78" s="5" t="n">
        <v>32</v>
      </c>
      <c r="AH78" s="5" t="n">
        <v>10</v>
      </c>
      <c r="AI78" s="5" t="n">
        <v>12</v>
      </c>
      <c r="AJ78" s="5" t="inlineStr"/>
      <c r="AK78" s="5" t="inlineStr"/>
      <c r="AL78" s="5" t="inlineStr"/>
      <c r="AM78" s="5" t="inlineStr"/>
      <c r="AN78" s="5" t="inlineStr"/>
      <c r="AO78" s="5" t="inlineStr"/>
      <c r="AP78" s="5" t="inlineStr"/>
      <c r="AQ78" s="5" t="inlineStr"/>
      <c r="AR78" s="5" t="inlineStr"/>
      <c r="AS78" s="5" t="inlineStr"/>
      <c r="AT78" s="5" t="inlineStr"/>
      <c r="AU78" s="5" t="n">
        <v>2016</v>
      </c>
      <c r="AV78" s="5" t="n">
        <v>19</v>
      </c>
      <c r="AW78" s="5" t="n">
        <v>3</v>
      </c>
      <c r="AX78" s="5" t="inlineStr"/>
      <c r="AY78" s="5" t="inlineStr"/>
      <c r="AZ78" s="5" t="inlineStr">
        <is>
          <t>SI</t>
        </is>
      </c>
      <c r="BA78" s="5" t="inlineStr"/>
      <c r="BB78" s="5" t="n">
        <v>272</v>
      </c>
      <c r="BC78" s="5" t="n">
        <v>285</v>
      </c>
      <c r="BD78" s="5" t="inlineStr"/>
      <c r="BE78" s="5" t="inlineStr">
        <is>
          <t>10.1504/IJIL.2016.075654</t>
        </is>
      </c>
      <c r="BF78" s="5" t="n">
        <v>0</v>
      </c>
      <c r="BG78" s="5" t="inlineStr"/>
      <c r="BH78" s="5" t="inlineStr"/>
      <c r="BI78" s="5" t="inlineStr"/>
      <c r="BJ78" s="5" t="inlineStr"/>
      <c r="BK78" s="5" t="inlineStr"/>
      <c r="BL78" s="5" t="inlineStr"/>
      <c r="BM78" s="5" t="inlineStr"/>
      <c r="BN78" s="5" t="inlineStr"/>
      <c r="BO78" s="5" t="inlineStr"/>
      <c r="BP78" s="5" t="inlineStr"/>
      <c r="BQ78" s="5" t="inlineStr"/>
      <c r="BR78" s="5" t="inlineStr">
        <is>
          <t>2026-05-29</t>
        </is>
      </c>
      <c r="BS78" s="5" t="inlineStr">
        <is>
          <t>WOS:000436889800003</t>
        </is>
      </c>
      <c r="BT78" s="5" t="n">
        <v>0</v>
      </c>
      <c r="BU78">
        <f>COUNTIF('오픈소스&amp;직접수집'!F:F,'wos(corecollection)_260528'!BE78)</f>
        <v/>
      </c>
      <c r="BV78">
        <f>COUNTIF('오픈소스&amp;직접수집'!A:A,'wos(corecollection)_260528'!I78)</f>
        <v/>
      </c>
      <c r="BW78">
        <f>SUM(BU78:BV78)</f>
        <v/>
      </c>
    </row>
    <row r="79">
      <c r="A79" s="5" t="inlineStr">
        <is>
          <t>cyram 인용</t>
        </is>
      </c>
      <c r="B79" s="5" t="inlineStr">
        <is>
          <t>Maivizhi, R; Sendhilkumar, S; Mahalakshmi, GS</t>
        </is>
      </c>
      <c r="C79" s="5" t="inlineStr"/>
      <c r="D79" s="5" t="inlineStr"/>
      <c r="E79" s="5" t="inlineStr">
        <is>
          <t>ACM</t>
        </is>
      </c>
      <c r="F79" s="5" t="inlineStr">
        <is>
          <t>Maivizhi, R.; Sendhilkumar, S.; Mahalakshmi, G. S.</t>
        </is>
      </c>
      <c r="G79" s="5" t="inlineStr"/>
      <c r="H79" s="5" t="inlineStr"/>
      <c r="I79" s="5" t="inlineStr">
        <is>
          <t>A Survey of Tools for Community Detection and Mining in Social Networks</t>
        </is>
      </c>
      <c r="J79" s="5" t="inlineStr">
        <is>
          <t>PROCEEDINGS OF THE INTERNATIONAL CONFERENCE ON INFORMATICS AND ANALYTICS (ICIA' 16)</t>
        </is>
      </c>
      <c r="K79" s="5" t="inlineStr"/>
      <c r="L79" s="5" t="inlineStr"/>
      <c r="M79" s="5" t="inlineStr"/>
      <c r="N79" s="5" t="inlineStr">
        <is>
          <t>Proceedings Paper</t>
        </is>
      </c>
      <c r="O79" s="5" t="inlineStr">
        <is>
          <t>1st International Conference on Informatics and Analytics (ICIA)</t>
        </is>
      </c>
      <c r="P79" s="5" t="inlineStr">
        <is>
          <t>AUG 25-26, 2016</t>
        </is>
      </c>
      <c r="Q79" s="5" t="inlineStr">
        <is>
          <t>Pondicherry Engn Coll, Puducherry, INDIA</t>
        </is>
      </c>
      <c r="R79" s="5" t="inlineStr"/>
      <c r="S79" s="5" t="inlineStr">
        <is>
          <t>Pondicherry Engn Coll</t>
        </is>
      </c>
      <c r="T79" s="5" t="inlineStr"/>
      <c r="U79" s="5" t="inlineStr"/>
      <c r="V79" s="5" t="inlineStr">
        <is>
          <t>Online Social Networks (OSNs) namely Facebook, Twitter and LinkedIn are the most popularly visited sites on the internet. These sites contain large voluminous data about the people and relationships among them. Community structure is an important property of social networks. It is a topic of considerable interest in many areas due to its wide range of applications in multiple disciplines including biology, computer science, social sciences and so on. Detection of communities reveals how the structure of ties affects the peoples and their relationships. To facilitate community discovery a wide range of tools have been developed over years. This paper surveys several tools available for detection and mining of communities and presents a comparative study. In addition, we discussed various visualization layouts of social networks in order to perceive network data and to communicate the result of analysis.</t>
        </is>
      </c>
      <c r="W79" s="5" t="inlineStr">
        <is>
          <t>[Maivizhi, R.; Sendhilkumar, S.] Anna Univ, Dept IST, Chennai, Tamil Nadu, India; [Mahalakshmi, G. S.] Anna Univ, Dept CSE, Chennai, Tamil Nadu, India</t>
        </is>
      </c>
      <c r="X79" s="5" t="inlineStr"/>
      <c r="Y79" s="5" t="inlineStr">
        <is>
          <t>Maivizhi, R (corresponding author), Anna Univ, Dept IST, Chennai, Tamil Nadu, India.</t>
        </is>
      </c>
      <c r="Z79" s="5" t="inlineStr">
        <is>
          <t>maivizhi16@gmail.com; ssk_pdy@yahoo.co.in; gsmaha@annauniv.edu</t>
        </is>
      </c>
      <c r="AA79" s="5" t="inlineStr"/>
      <c r="AB79" s="5" t="inlineStr"/>
      <c r="AC79" s="5" t="inlineStr"/>
      <c r="AD79" s="5" t="inlineStr"/>
      <c r="AE79" s="5" t="inlineStr"/>
      <c r="AF79" s="5" t="inlineStr"/>
      <c r="AG79" s="5" t="n">
        <v>23</v>
      </c>
      <c r="AH79" s="5" t="n">
        <v>5</v>
      </c>
      <c r="AI79" s="5" t="n">
        <v>8</v>
      </c>
      <c r="AJ79" s="5" t="inlineStr"/>
      <c r="AK79" s="5" t="inlineStr"/>
      <c r="AL79" s="5" t="inlineStr"/>
      <c r="AM79" s="5" t="inlineStr"/>
      <c r="AN79" s="5" t="inlineStr"/>
      <c r="AO79" s="5" t="inlineStr"/>
      <c r="AP79" s="5" t="inlineStr"/>
      <c r="AQ79" s="5" t="inlineStr"/>
      <c r="AR79" s="5" t="inlineStr"/>
      <c r="AS79" s="5" t="inlineStr"/>
      <c r="AT79" s="5" t="inlineStr"/>
      <c r="AU79" s="5" t="n">
        <v>2016</v>
      </c>
      <c r="AV79" s="5" t="inlineStr"/>
      <c r="AW79" s="5" t="inlineStr"/>
      <c r="AX79" s="5" t="inlineStr"/>
      <c r="AY79" s="5" t="inlineStr"/>
      <c r="AZ79" s="5" t="inlineStr"/>
      <c r="BA79" s="5" t="inlineStr"/>
      <c r="BB79" s="5" t="inlineStr"/>
      <c r="BC79" s="5" t="inlineStr"/>
      <c r="BD79" s="5" t="inlineStr"/>
      <c r="BE79" s="5" t="inlineStr">
        <is>
          <t>10.1145/2980258.2980408</t>
        </is>
      </c>
      <c r="BF79" s="5" t="n">
        <v>0</v>
      </c>
      <c r="BG79" s="5" t="inlineStr"/>
      <c r="BH79" s="5" t="inlineStr"/>
      <c r="BI79" s="5" t="inlineStr"/>
      <c r="BJ79" s="5" t="inlineStr"/>
      <c r="BK79" s="5" t="inlineStr"/>
      <c r="BL79" s="5" t="inlineStr"/>
      <c r="BM79" s="5" t="inlineStr"/>
      <c r="BN79" s="5" t="inlineStr"/>
      <c r="BO79" s="5" t="inlineStr"/>
      <c r="BP79" s="5" t="inlineStr"/>
      <c r="BQ79" s="5" t="inlineStr"/>
      <c r="BR79" s="5" t="inlineStr">
        <is>
          <t>2026-05-29</t>
        </is>
      </c>
      <c r="BS79" s="5" t="inlineStr">
        <is>
          <t>WOS:000653618800071</t>
        </is>
      </c>
      <c r="BT79" s="5" t="n">
        <v>0</v>
      </c>
      <c r="BU79">
        <f>COUNTIF('오픈소스&amp;직접수집'!F:F,'wos(corecollection)_260528'!BE79)</f>
        <v/>
      </c>
      <c r="BV79">
        <f>COUNTIF('오픈소스&amp;직접수집'!A:A,'wos(corecollection)_260528'!I79)</f>
        <v/>
      </c>
      <c r="BW79">
        <f>SUM(BU79:BV79)</f>
        <v/>
      </c>
    </row>
    <row r="80">
      <c r="A80" s="5" t="inlineStr">
        <is>
          <t>cyram 인용</t>
        </is>
      </c>
      <c r="B80" s="5" t="inlineStr">
        <is>
          <t>Andrei, F; Mancini, G; Mazzoni, E; Russo, PM; Baldaro, B</t>
        </is>
      </c>
      <c r="C80" s="5" t="inlineStr"/>
      <c r="D80" s="5" t="inlineStr"/>
      <c r="E80" s="5" t="inlineStr"/>
      <c r="F80" s="5" t="inlineStr">
        <is>
          <t>Andrei, Federica; Mancini, Giacomo; Mazzoni, Elvis; Russo, P. M.; Baldaro, Bruno</t>
        </is>
      </c>
      <c r="G80" s="5" t="inlineStr"/>
      <c r="H80" s="5" t="inlineStr"/>
      <c r="I80" s="5" t="inlineStr">
        <is>
          <t>Social status and its link with personality dimensions, trait emotional intelligence, and scholastic achievement in children and early adolescents</t>
        </is>
      </c>
      <c r="J80" s="5" t="inlineStr">
        <is>
          <t>LEARNING AND INDIVIDUAL DIFFERENCES</t>
        </is>
      </c>
      <c r="K80" s="5" t="inlineStr"/>
      <c r="L80" s="5" t="inlineStr"/>
      <c r="M80" s="5" t="inlineStr"/>
      <c r="N80" s="5" t="inlineStr">
        <is>
          <t>Article</t>
        </is>
      </c>
      <c r="O80" s="5" t="inlineStr"/>
      <c r="P80" s="5" t="inlineStr"/>
      <c r="Q80" s="5" t="inlineStr"/>
      <c r="R80" s="5" t="inlineStr"/>
      <c r="S80" s="5" t="inlineStr"/>
      <c r="T80" s="5" t="inlineStr"/>
      <c r="U80" s="5" t="inlineStr"/>
      <c r="V80" s="5" t="inlineStr">
        <is>
          <t>This study investigated whether: (a) personality dimensions and trait emotional intelligence relate to actual and perceived social status, (b) social status influence scholastic achievement, and (c) if such associations are moderated by gender. A sample of 595 Italian children and early adolescents completed measures for personality variables, non-verbal cognitive ability, while end of year grades were obtained from school offices. In a sociometric approach, participants rated the degree of each other acceptance and rejection, as well as their own perception of acceptance and rejection within the classroom context. Results indicate that gender moderates the association of personality traits and trait El with actual social status for early adolescents, and with perceived social status for children. Overall, personality impacts social status for female only. Gender also moderates the effects of actual social status on scholastic achievement, with adolescent females being more affected by poor acceptance. Implications are discussed. (C) 2015 Elsevier Inc All rights reserved.</t>
        </is>
      </c>
      <c r="W80" s="5" t="inlineStr">
        <is>
          <t>[Andrei, Federica; Mancini, Giacomo; Mazzoni, Elvis; Baldaro, Bruno] Univ Bologna, Dept Psychol, I-40127 Bologna, Italy; [Russo, P. M.] Univ Bologna, Dept Specialised, Expt Diagnost Med, S Orsola Malpighi Hosp, I-40138 Bologna, Italy</t>
        </is>
      </c>
      <c r="X80" s="5" t="inlineStr"/>
      <c r="Y80" s="5" t="inlineStr">
        <is>
          <t>Andrei, F (corresponding author), Univ Bologna, Dept Psychol, Viale Berti Pichat 5, I-40127 Bologna, Italy.</t>
        </is>
      </c>
      <c r="Z80" s="5" t="inlineStr">
        <is>
          <t>federica.andrei2@unibo.it</t>
        </is>
      </c>
      <c r="AA80" s="5" t="inlineStr"/>
      <c r="AB80" s="5" t="inlineStr"/>
      <c r="AC80" s="5" t="inlineStr"/>
      <c r="AD80" s="5" t="inlineStr"/>
      <c r="AE80" s="5" t="inlineStr"/>
      <c r="AF80" s="5" t="inlineStr"/>
      <c r="AG80" s="5" t="n">
        <v>81</v>
      </c>
      <c r="AH80" s="5" t="n">
        <v>43</v>
      </c>
      <c r="AI80" s="5" t="n">
        <v>53</v>
      </c>
      <c r="AJ80" s="5" t="inlineStr"/>
      <c r="AK80" s="5" t="inlineStr"/>
      <c r="AL80" s="5" t="inlineStr"/>
      <c r="AM80" s="5" t="inlineStr"/>
      <c r="AN80" s="5" t="inlineStr"/>
      <c r="AO80" s="5" t="inlineStr"/>
      <c r="AP80" s="5" t="inlineStr"/>
      <c r="AQ80" s="5" t="inlineStr"/>
      <c r="AR80" s="5" t="inlineStr"/>
      <c r="AS80" s="5" t="inlineStr"/>
      <c r="AT80" s="5" t="inlineStr">
        <is>
          <t>AUG</t>
        </is>
      </c>
      <c r="AU80" s="5" t="n">
        <v>2015</v>
      </c>
      <c r="AV80" s="5" t="n">
        <v>42</v>
      </c>
      <c r="AW80" s="5" t="inlineStr"/>
      <c r="AX80" s="5" t="inlineStr"/>
      <c r="AY80" s="5" t="inlineStr"/>
      <c r="AZ80" s="5" t="inlineStr"/>
      <c r="BA80" s="5" t="inlineStr"/>
      <c r="BB80" s="5" t="n">
        <v>97</v>
      </c>
      <c r="BC80" s="5" t="n">
        <v>105</v>
      </c>
      <c r="BD80" s="5" t="inlineStr"/>
      <c r="BE80" s="5" t="inlineStr">
        <is>
          <t>10.1016/j.lindif.2015.07.014</t>
        </is>
      </c>
      <c r="BF80" s="5" t="n">
        <v>0</v>
      </c>
      <c r="BG80" s="5" t="inlineStr"/>
      <c r="BH80" s="5" t="inlineStr"/>
      <c r="BI80" s="5" t="inlineStr"/>
      <c r="BJ80" s="5" t="inlineStr"/>
      <c r="BK80" s="5" t="inlineStr"/>
      <c r="BL80" s="5" t="inlineStr"/>
      <c r="BM80" s="5" t="inlineStr"/>
      <c r="BN80" s="5" t="inlineStr"/>
      <c r="BO80" s="5" t="inlineStr"/>
      <c r="BP80" s="5" t="inlineStr"/>
      <c r="BQ80" s="5" t="inlineStr"/>
      <c r="BR80" s="5" t="inlineStr">
        <is>
          <t>2026-05-29</t>
        </is>
      </c>
      <c r="BS80" s="5" t="inlineStr">
        <is>
          <t>WOS:000362153000013</t>
        </is>
      </c>
      <c r="BT80" s="5" t="n">
        <v>0</v>
      </c>
      <c r="BU80">
        <f>COUNTIF('오픈소스&amp;직접수집'!F:F,'wos(corecollection)_260528'!BE80)</f>
        <v/>
      </c>
      <c r="BV80">
        <f>COUNTIF('오픈소스&amp;직접수집'!A:A,'wos(corecollection)_260528'!I80)</f>
        <v/>
      </c>
      <c r="BW80">
        <f>SUM(BU80:BV80)</f>
        <v/>
      </c>
    </row>
    <row r="81">
      <c r="A81" s="5" t="inlineStr">
        <is>
          <t>cyram 인용</t>
        </is>
      </c>
      <c r="B81" s="5" t="inlineStr">
        <is>
          <t>Nizamani, S; Memon, N</t>
        </is>
      </c>
      <c r="C81" s="5" t="inlineStr"/>
      <c r="D81" s="5" t="inlineStr"/>
      <c r="E81" s="5" t="inlineStr"/>
      <c r="F81" s="5" t="inlineStr">
        <is>
          <t>Nizamani, Sarwat; Memon, Nasrullah</t>
        </is>
      </c>
      <c r="G81" s="5" t="inlineStr"/>
      <c r="H81" s="5" t="inlineStr"/>
      <c r="I81" s="5" t="inlineStr">
        <is>
          <t>CNEM: Cluster Based Network Evolution Model</t>
        </is>
      </c>
      <c r="J81" s="5" t="inlineStr">
        <is>
          <t>MEHRAN UNIVERSITY RESEARCH JOURNAL OF ENGINEERING AND TECHNOLOGY</t>
        </is>
      </c>
      <c r="K81" s="5" t="inlineStr"/>
      <c r="L81" s="5" t="inlineStr"/>
      <c r="M81" s="5" t="inlineStr"/>
      <c r="N81" s="5" t="inlineStr">
        <is>
          <t>Article</t>
        </is>
      </c>
      <c r="O81" s="5" t="inlineStr"/>
      <c r="P81" s="5" t="inlineStr"/>
      <c r="Q81" s="5" t="inlineStr"/>
      <c r="R81" s="5" t="inlineStr"/>
      <c r="S81" s="5" t="inlineStr"/>
      <c r="T81" s="5" t="inlineStr"/>
      <c r="U81" s="5" t="inlineStr"/>
      <c r="V81" s="5" t="inlineStr">
        <is>
          <t>This paper presents a network evolution model, which is based on the clustering approach. The proposed approach depicts the network evolution, which demonstrates the network formation from individual nodes to fully evolved network. An agglomerative hierarchical clustering method is applied for the evolution of network. In the paper, we present three case studies which show the evolution of the networks from the scratch. These case studies include: terrorist network of 9/11 incidents, terrorist network of WMD (Weapons Mass Destruction) plot against France and a network of tweets discussing a topic. The network of 9/11 is also used for evaluation, using other social network analysis methods which show that the clusters created using the proposed model of network evolution are of good quality, thus the proposed method can be used by law enforcement agencies in order to further investigate the criminal networks.</t>
        </is>
      </c>
      <c r="W81" s="5" t="inlineStr">
        <is>
          <t>[Nizamani, Sarwat] Univ Sindh, Dept Comp Sci, Mirpur Khas Campus, Jamshoro, Pakistan; [Memon, Nasrullah] Univ Southern, Maersk McKinney Moller Inst, Odense, Denmark</t>
        </is>
      </c>
      <c r="X81" s="5" t="inlineStr"/>
      <c r="Y81" s="5" t="inlineStr">
        <is>
          <t>Nizamani, S (corresponding author), Univ Sindh, Dept Comp Sci, Mirpur Khas Campus, Jamshoro, Pakistan.</t>
        </is>
      </c>
      <c r="Z81" s="5" t="inlineStr"/>
      <c r="AA81" s="5" t="inlineStr"/>
      <c r="AB81" s="5" t="inlineStr"/>
      <c r="AC81" s="5" t="inlineStr"/>
      <c r="AD81" s="5" t="inlineStr"/>
      <c r="AE81" s="5" t="inlineStr"/>
      <c r="AF81" s="5" t="inlineStr"/>
      <c r="AG81" s="5" t="n">
        <v>22</v>
      </c>
      <c r="AH81" s="5" t="n">
        <v>0</v>
      </c>
      <c r="AI81" s="5" t="n">
        <v>0</v>
      </c>
      <c r="AJ81" s="5" t="inlineStr"/>
      <c r="AK81" s="5" t="inlineStr"/>
      <c r="AL81" s="5" t="inlineStr"/>
      <c r="AM81" s="5" t="inlineStr"/>
      <c r="AN81" s="5" t="inlineStr"/>
      <c r="AO81" s="5" t="inlineStr"/>
      <c r="AP81" s="5" t="inlineStr"/>
      <c r="AQ81" s="5" t="inlineStr"/>
      <c r="AR81" s="5" t="inlineStr"/>
      <c r="AS81" s="5" t="inlineStr"/>
      <c r="AT81" s="5" t="inlineStr">
        <is>
          <t>JAN</t>
        </is>
      </c>
      <c r="AU81" s="5" t="n">
        <v>2015</v>
      </c>
      <c r="AV81" s="5" t="n">
        <v>34</v>
      </c>
      <c r="AW81" s="5" t="n">
        <v>1</v>
      </c>
      <c r="AX81" s="5" t="inlineStr"/>
      <c r="AY81" s="5" t="inlineStr"/>
      <c r="AZ81" s="5" t="inlineStr"/>
      <c r="BA81" s="5" t="inlineStr"/>
      <c r="BB81" s="5" t="n">
        <v>61</v>
      </c>
      <c r="BC81" s="5" t="n">
        <v>69</v>
      </c>
      <c r="BD81" s="5" t="inlineStr"/>
      <c r="BE81" s="5" t="inlineStr"/>
      <c r="BF81" s="5" t="inlineStr"/>
      <c r="BG81" s="5" t="inlineStr"/>
      <c r="BH81" s="5" t="inlineStr"/>
      <c r="BI81" s="5" t="inlineStr"/>
      <c r="BJ81" s="5" t="inlineStr"/>
      <c r="BK81" s="5" t="inlineStr"/>
      <c r="BL81" s="5" t="inlineStr"/>
      <c r="BM81" s="5" t="inlineStr"/>
      <c r="BN81" s="5" t="inlineStr"/>
      <c r="BO81" s="5" t="inlineStr"/>
      <c r="BP81" s="5" t="inlineStr"/>
      <c r="BQ81" s="5" t="inlineStr"/>
      <c r="BR81" s="5" t="inlineStr">
        <is>
          <t>2026-05-29</t>
        </is>
      </c>
      <c r="BS81" s="5" t="inlineStr">
        <is>
          <t>WOS:000443095000009</t>
        </is>
      </c>
      <c r="BT81" s="5" t="n">
        <v>0</v>
      </c>
      <c r="BU81" t="inlineStr">
        <is>
          <t>-</t>
        </is>
      </c>
      <c r="BV81">
        <f>COUNTIF('오픈소스&amp;직접수집'!A:A,'wos(corecollection)_260528'!I81)</f>
        <v/>
      </c>
      <c r="BW81">
        <f>SUM(BU81:BV81)</f>
        <v/>
      </c>
    </row>
    <row r="82">
      <c r="A82" s="5" t="inlineStr">
        <is>
          <t>cyram 인용</t>
        </is>
      </c>
      <c r="B82" s="5" t="inlineStr">
        <is>
          <t>Osburn, L</t>
        </is>
      </c>
      <c r="C82" s="5" t="inlineStr"/>
      <c r="D82" s="5" t="inlineStr">
        <is>
          <t>Grieve, GP; Veidlinger, D</t>
        </is>
      </c>
      <c r="E82" s="5" t="inlineStr"/>
      <c r="F82" s="5" t="inlineStr">
        <is>
          <t>Osburn, Laura</t>
        </is>
      </c>
      <c r="G82" s="5" t="inlineStr"/>
      <c r="H82" s="5" t="inlineStr"/>
      <c r="I82" s="5" t="inlineStr">
        <is>
          <t>Between Network and Story Analyzing Hyperlinks and Narratives on Websites about Tibet</t>
        </is>
      </c>
      <c r="J82" s="5" t="inlineStr">
        <is>
          <t>BUDDHISM, THE INTERNET, AND DIGITAL MEDIA: THE PIXEL IN THE LOTUS</t>
        </is>
      </c>
      <c r="K82" s="5" t="inlineStr"/>
      <c r="L82" s="5" t="inlineStr"/>
      <c r="M82" s="5" t="inlineStr"/>
      <c r="N82" s="5" t="inlineStr">
        <is>
          <t>Proceedings Paper</t>
        </is>
      </c>
      <c r="O82" s="5" t="inlineStr">
        <is>
          <t>Buddhism, the Internet, and Digital Media: The Pixel in the Lotus</t>
        </is>
      </c>
      <c r="P82" s="5" t="inlineStr">
        <is>
          <t>NOV, 2011</t>
        </is>
      </c>
      <c r="Q82" s="5" t="inlineStr">
        <is>
          <t>Calif State Univ, Chico, CA</t>
        </is>
      </c>
      <c r="R82" s="5" t="inlineStr"/>
      <c r="S82" s="5" t="inlineStr">
        <is>
          <t>Calif State Univ</t>
        </is>
      </c>
      <c r="T82" s="5" t="inlineStr"/>
      <c r="U82" s="5" t="inlineStr"/>
      <c r="V82" s="5" t="inlineStr"/>
      <c r="W82" s="5" t="inlineStr">
        <is>
          <t>[Osburn, Laura] Univ Washington, Dept Commun, Seattle, WA 98195 USA</t>
        </is>
      </c>
      <c r="X82" s="5" t="inlineStr"/>
      <c r="Y82" s="5" t="inlineStr">
        <is>
          <t>Osburn, L (corresponding author), Univ Washington, Dept Commun, Seattle, WA 98195 USA.</t>
        </is>
      </c>
      <c r="Z82" s="5" t="inlineStr"/>
      <c r="AA82" s="5" t="inlineStr"/>
      <c r="AB82" s="5" t="inlineStr"/>
      <c r="AC82" s="5" t="inlineStr"/>
      <c r="AD82" s="5" t="inlineStr"/>
      <c r="AE82" s="5" t="inlineStr"/>
      <c r="AF82" s="5" t="inlineStr"/>
      <c r="AG82" s="5" t="n">
        <v>23</v>
      </c>
      <c r="AH82" s="5" t="n">
        <v>0</v>
      </c>
      <c r="AI82" s="5" t="n">
        <v>0</v>
      </c>
      <c r="AJ82" s="5" t="inlineStr"/>
      <c r="AK82" s="5" t="inlineStr"/>
      <c r="AL82" s="5" t="inlineStr"/>
      <c r="AM82" s="5" t="inlineStr"/>
      <c r="AN82" s="5" t="inlineStr"/>
      <c r="AO82" s="5" t="inlineStr"/>
      <c r="AP82" s="5" t="inlineStr"/>
      <c r="AQ82" s="5" t="inlineStr"/>
      <c r="AR82" s="5" t="inlineStr"/>
      <c r="AS82" s="5" t="inlineStr"/>
      <c r="AT82" s="5" t="inlineStr"/>
      <c r="AU82" s="5" t="n">
        <v>2015</v>
      </c>
      <c r="AV82" s="5" t="inlineStr"/>
      <c r="AW82" s="5" t="inlineStr"/>
      <c r="AX82" s="5" t="inlineStr"/>
      <c r="AY82" s="5" t="inlineStr"/>
      <c r="AZ82" s="5" t="inlineStr"/>
      <c r="BA82" s="5" t="inlineStr"/>
      <c r="BB82" s="5" t="n">
        <v>40</v>
      </c>
      <c r="BC82" s="5" t="n">
        <v>57</v>
      </c>
      <c r="BD82" s="5" t="inlineStr"/>
      <c r="BE82" s="5" t="inlineStr"/>
      <c r="BF82" s="5" t="inlineStr"/>
      <c r="BG82" s="5" t="inlineStr"/>
      <c r="BH82" s="5" t="inlineStr"/>
      <c r="BI82" s="5" t="inlineStr"/>
      <c r="BJ82" s="5" t="inlineStr"/>
      <c r="BK82" s="5" t="inlineStr"/>
      <c r="BL82" s="5" t="inlineStr"/>
      <c r="BM82" s="5" t="inlineStr"/>
      <c r="BN82" s="5" t="inlineStr"/>
      <c r="BO82" s="5" t="inlineStr"/>
      <c r="BP82" s="5" t="inlineStr"/>
      <c r="BQ82" s="5" t="inlineStr"/>
      <c r="BR82" s="5" t="inlineStr">
        <is>
          <t>2026-05-29</t>
        </is>
      </c>
      <c r="BS82" s="5" t="inlineStr">
        <is>
          <t>WOS:000380612200003</t>
        </is>
      </c>
      <c r="BT82" s="5" t="n">
        <v>0</v>
      </c>
      <c r="BU82" t="inlineStr">
        <is>
          <t>-</t>
        </is>
      </c>
      <c r="BV82">
        <f>COUNTIF('오픈소스&amp;직접수집'!A:A,'wos(corecollection)_260528'!I82)</f>
        <v/>
      </c>
      <c r="BW82">
        <f>SUM(BU82:BV82)</f>
        <v/>
      </c>
    </row>
    <row r="83">
      <c r="A83" s="5" t="inlineStr">
        <is>
          <t>cyram 인용</t>
        </is>
      </c>
      <c r="B83" s="5" t="inlineStr">
        <is>
          <t>Yang, RJ</t>
        </is>
      </c>
      <c r="C83" s="5" t="inlineStr"/>
      <c r="D83" s="5" t="inlineStr"/>
      <c r="E83" s="5" t="inlineStr"/>
      <c r="F83" s="5" t="inlineStr">
        <is>
          <t>Yang, Rebecca Jing</t>
        </is>
      </c>
      <c r="G83" s="5" t="inlineStr"/>
      <c r="H83" s="5" t="inlineStr"/>
      <c r="I83" s="5" t="inlineStr">
        <is>
          <t>An investigation of stakeholder analysis in urban development projects: Empirical or rationalistic perspectives</t>
        </is>
      </c>
      <c r="J83" s="5" t="inlineStr">
        <is>
          <t>INTERNATIONAL JOURNAL OF PROJECT MANAGEMENT</t>
        </is>
      </c>
      <c r="K83" s="5" t="inlineStr"/>
      <c r="L83" s="5" t="inlineStr"/>
      <c r="M83" s="5" t="inlineStr"/>
      <c r="N83" s="5" t="inlineStr">
        <is>
          <t>Article</t>
        </is>
      </c>
      <c r="O83" s="5" t="inlineStr"/>
      <c r="P83" s="5" t="inlineStr"/>
      <c r="Q83" s="5" t="inlineStr"/>
      <c r="R83" s="5" t="inlineStr"/>
      <c r="S83" s="5" t="inlineStr"/>
      <c r="T83" s="5" t="inlineStr"/>
      <c r="U83" s="5" t="inlineStr"/>
      <c r="V83" s="5" t="inlineStr">
        <is>
          <t>The increasing research interest in multi-stakeholder analysis in urban planning reflects a growing recognition that stakeholders can and should influence the decision-making of urban development projects. Methods for identifying and prioritising stakeholders and their interests are explored in this study, and two perspectives (empiricism and rationalism) for stakeholder analysis are proposed. Two case studies, one regional renewal project and the other an infrastructure project, are presented to verify the usefulness of these two analysis perspectives. The results from the case studies show that no one method for stakeholder analysis is perfect; the selection of analytical perspective is an art with extensive considerations of 'when, what, and how' to choose methods to achieve the project objectives. Applying both empirical and rationalistic perspectives and comparing the analysis results when necessary are proposed as the best way to analyse stakeholders. (C) 2013 Elsevier Ltd. APM and IPMA. All rights reserved.</t>
        </is>
      </c>
      <c r="W83" s="5" t="inlineStr">
        <is>
          <t>RMIT Univ, Sch Property Construct &amp; Project Management, Melbourne, Vic, Australia</t>
        </is>
      </c>
      <c r="X83" s="5" t="inlineStr"/>
      <c r="Y83" s="5" t="inlineStr">
        <is>
          <t>Yang, RJ (corresponding author), RMIT Univ, Sch Property Construct &amp; Project Management, Melbourne, Vic, Australia.</t>
        </is>
      </c>
      <c r="Z83" s="5" t="inlineStr">
        <is>
          <t>mrliljj24@yahoo.com</t>
        </is>
      </c>
      <c r="AA83" s="5" t="inlineStr"/>
      <c r="AB83" s="5" t="inlineStr"/>
      <c r="AC83" s="5" t="inlineStr"/>
      <c r="AD83" s="5" t="inlineStr"/>
      <c r="AE83" s="5" t="inlineStr"/>
      <c r="AF83" s="5" t="inlineStr"/>
      <c r="AG83" s="5" t="n">
        <v>67</v>
      </c>
      <c r="AH83" s="5" t="n">
        <v>146</v>
      </c>
      <c r="AI83" s="5" t="n">
        <v>177</v>
      </c>
      <c r="AJ83" s="5" t="inlineStr"/>
      <c r="AK83" s="5" t="inlineStr"/>
      <c r="AL83" s="5" t="inlineStr"/>
      <c r="AM83" s="5" t="inlineStr"/>
      <c r="AN83" s="5" t="inlineStr"/>
      <c r="AO83" s="5" t="inlineStr"/>
      <c r="AP83" s="5" t="inlineStr"/>
      <c r="AQ83" s="5" t="inlineStr"/>
      <c r="AR83" s="5" t="inlineStr"/>
      <c r="AS83" s="5" t="inlineStr"/>
      <c r="AT83" s="5" t="inlineStr">
        <is>
          <t>JUL</t>
        </is>
      </c>
      <c r="AU83" s="5" t="n">
        <v>2014</v>
      </c>
      <c r="AV83" s="5" t="n">
        <v>32</v>
      </c>
      <c r="AW83" s="5" t="n">
        <v>5</v>
      </c>
      <c r="AX83" s="5" t="inlineStr"/>
      <c r="AY83" s="5" t="inlineStr"/>
      <c r="AZ83" s="5" t="inlineStr"/>
      <c r="BA83" s="5" t="inlineStr"/>
      <c r="BB83" s="5" t="n">
        <v>838</v>
      </c>
      <c r="BC83" s="5" t="n">
        <v>849</v>
      </c>
      <c r="BD83" s="5" t="inlineStr"/>
      <c r="BE83" s="5" t="inlineStr">
        <is>
          <t>10.1016/j.ijproman.2013.10.011</t>
        </is>
      </c>
      <c r="BF83" s="5" t="n">
        <v>0</v>
      </c>
      <c r="BG83" s="5" t="inlineStr"/>
      <c r="BH83" s="5" t="inlineStr"/>
      <c r="BI83" s="5" t="inlineStr"/>
      <c r="BJ83" s="5" t="inlineStr"/>
      <c r="BK83" s="5" t="inlineStr"/>
      <c r="BL83" s="5" t="inlineStr"/>
      <c r="BM83" s="5" t="inlineStr"/>
      <c r="BN83" s="5" t="inlineStr"/>
      <c r="BO83" s="5" t="inlineStr"/>
      <c r="BP83" s="5" t="inlineStr"/>
      <c r="BQ83" s="5" t="inlineStr"/>
      <c r="BR83" s="5" t="inlineStr">
        <is>
          <t>2026-05-29</t>
        </is>
      </c>
      <c r="BS83" s="5" t="inlineStr">
        <is>
          <t>WOS:000337769000011</t>
        </is>
      </c>
      <c r="BT83" s="5" t="n">
        <v>0</v>
      </c>
      <c r="BU83">
        <f>COUNTIF('오픈소스&amp;직접수집'!F:F,'wos(corecollection)_260528'!BE83)</f>
        <v/>
      </c>
      <c r="BV83">
        <f>COUNTIF('오픈소스&amp;직접수집'!A:A,'wos(corecollection)_260528'!I83)</f>
        <v/>
      </c>
      <c r="BW83">
        <f>SUM(BU83:BV83)</f>
        <v/>
      </c>
    </row>
    <row r="84">
      <c r="A84" s="5" t="inlineStr">
        <is>
          <t>cyram 인용</t>
        </is>
      </c>
      <c r="B84" s="5" t="inlineStr">
        <is>
          <t>Kim, YG; Hau, YS; Song, S; Ghim, GH</t>
        </is>
      </c>
      <c r="C84" s="5" t="inlineStr"/>
      <c r="D84" s="5" t="inlineStr"/>
      <c r="E84" s="5" t="inlineStr"/>
      <c r="F84" s="5" t="inlineStr">
        <is>
          <t>Kim, Young-Gul; Hau, Yong Sauk; Song, Seulki; Ghim, Ghi-Hoon</t>
        </is>
      </c>
      <c r="G84" s="5" t="inlineStr"/>
      <c r="H84" s="5" t="inlineStr"/>
      <c r="I84" s="5" t="inlineStr">
        <is>
          <t>Trailing organizational knowledge paths through social network lens: integrating the multiple industry cases</t>
        </is>
      </c>
      <c r="J84" s="5" t="inlineStr">
        <is>
          <t>JOURNAL OF KNOWLEDGE MANAGEMENT</t>
        </is>
      </c>
      <c r="K84" s="5" t="inlineStr"/>
      <c r="L84" s="5" t="inlineStr"/>
      <c r="M84" s="5" t="inlineStr"/>
      <c r="N84" s="5" t="inlineStr">
        <is>
          <t>Article</t>
        </is>
      </c>
      <c r="O84" s="5" t="inlineStr"/>
      <c r="P84" s="5" t="inlineStr"/>
      <c r="Q84" s="5" t="inlineStr"/>
      <c r="R84" s="5" t="inlineStr"/>
      <c r="S84" s="5" t="inlineStr"/>
      <c r="T84" s="5" t="inlineStr"/>
      <c r="U84" s="5" t="inlineStr"/>
      <c r="V84" s="5" t="inlineStr">
        <is>
          <t>Purpose - This study aims at analyzing the features of knowledge flow and the role-specific nodes in knowledge networks among individuals and business units of six organizations in different industries, and suggesting prescriptions to prevent the organizational knowledge sclerosis. Design/methodology/approach - This research conducts multiple case studies on the organizational knowledge paths of six companies in the multiple industries through social network analysis (SNA) tool developed by the authors of this paper. Findings - This study provides four major findings which shed a new light on how to comprehend the features of knowledge flow and the role-specific nodes in knowledge networks in organizations: the within-business unit knowledge flows are more dominant over the inter-business units knowledge flow; the downward knowledge flows are dominant over the horizontal and upward knowledge flows in the management levels; distributions of knowledge owners and providers are like L-shape and the gap between knowledge owing and providing expands as the management levels go up; and the top 20 percent people in an organization dominate over a large portion of the knowledge brokerage activities. Research limitations/implications - Cultural difference issue might arise because data collection was limited to Korean organizations. Therefore, the findings from this study needs to be cautiously interpreted considering the cultural difference/deeper understanding of the organizational knowledge paths through social network lens can make it possible for more context-specific KM strategies (e.g. suitable for a specific functional unit, management level, or industry type) to be identified and implemented. Practical implications - Managers can have a solid grasp about knowledge flows and knowledge node roles in their organization through social network analysis in order to facilitate the knowledge transfer and eliminate the knowledge link lapse in organizations. Originality/value - This study could be a stepping stone for further empirical research since it expanded the level of organizational knowledge network analysis from individual and team to inter-unit and inter-management level through the block modeling analysis of knowledge network.</t>
        </is>
      </c>
      <c r="W84" s="5" t="inlineStr">
        <is>
          <t>[Kim, Young-Gul] Korea Adv Inst Sci &amp; Technol, Sch Business, Seoul, South Korea; [Hau, Yong Sauk] Yeungnam Univ, Sch Business, Gyongsan, South Korea; [Song, Seulki; Ghim, Ghi-Hoon] CYRAM, Seoul, South Korea</t>
        </is>
      </c>
      <c r="X84" s="5" t="inlineStr"/>
      <c r="Y84" s="5" t="inlineStr">
        <is>
          <t>Hau, YS (corresponding author), Yeungnam Univ, Sch Business, Gyongsan, South Korea.</t>
        </is>
      </c>
      <c r="Z84" s="5" t="inlineStr">
        <is>
          <t>augustine@yu.ac.kr</t>
        </is>
      </c>
      <c r="AA84" s="5" t="inlineStr"/>
      <c r="AB84" s="5" t="inlineStr"/>
      <c r="AC84" s="5" t="inlineStr"/>
      <c r="AD84" s="5" t="inlineStr"/>
      <c r="AE84" s="5" t="inlineStr"/>
      <c r="AF84" s="5" t="inlineStr"/>
      <c r="AG84" s="5" t="n">
        <v>34</v>
      </c>
      <c r="AH84" s="5" t="n">
        <v>11</v>
      </c>
      <c r="AI84" s="5" t="n">
        <v>15</v>
      </c>
      <c r="AJ84" s="5" t="inlineStr"/>
      <c r="AK84" s="5" t="inlineStr"/>
      <c r="AL84" s="5" t="inlineStr"/>
      <c r="AM84" s="5" t="inlineStr"/>
      <c r="AN84" s="5" t="inlineStr"/>
      <c r="AO84" s="5" t="inlineStr"/>
      <c r="AP84" s="5" t="inlineStr"/>
      <c r="AQ84" s="5" t="inlineStr"/>
      <c r="AR84" s="5" t="inlineStr"/>
      <c r="AS84" s="5" t="inlineStr"/>
      <c r="AT84" s="5" t="inlineStr"/>
      <c r="AU84" s="5" t="n">
        <v>2014</v>
      </c>
      <c r="AV84" s="5" t="n">
        <v>18</v>
      </c>
      <c r="AW84" s="5" t="n">
        <v>1</v>
      </c>
      <c r="AX84" s="5" t="inlineStr"/>
      <c r="AY84" s="5" t="inlineStr"/>
      <c r="AZ84" s="5" t="inlineStr"/>
      <c r="BA84" s="5" t="inlineStr"/>
      <c r="BB84" s="5" t="n">
        <v>38</v>
      </c>
      <c r="BC84" s="5" t="n">
        <v>51</v>
      </c>
      <c r="BD84" s="5" t="inlineStr"/>
      <c r="BE84" s="5" t="inlineStr">
        <is>
          <t>10.1108/JKM-06-2013-0237</t>
        </is>
      </c>
      <c r="BF84" s="5" t="n">
        <v>0</v>
      </c>
      <c r="BG84" s="5" t="inlineStr"/>
      <c r="BH84" s="5" t="inlineStr"/>
      <c r="BI84" s="5" t="inlineStr"/>
      <c r="BJ84" s="5" t="inlineStr"/>
      <c r="BK84" s="5" t="inlineStr"/>
      <c r="BL84" s="5" t="inlineStr"/>
      <c r="BM84" s="5" t="inlineStr"/>
      <c r="BN84" s="5" t="inlineStr"/>
      <c r="BO84" s="5" t="inlineStr"/>
      <c r="BP84" s="5" t="inlineStr"/>
      <c r="BQ84" s="5" t="inlineStr"/>
      <c r="BR84" s="5" t="inlineStr">
        <is>
          <t>2026-05-29</t>
        </is>
      </c>
      <c r="BS84" s="5" t="inlineStr">
        <is>
          <t>WOS:000333541500003</t>
        </is>
      </c>
      <c r="BT84" s="5" t="n">
        <v>0</v>
      </c>
      <c r="BU84">
        <f>COUNTIF('오픈소스&amp;직접수집'!F:F,'wos(corecollection)_260528'!BE84)</f>
        <v/>
      </c>
      <c r="BV84">
        <f>COUNTIF('오픈소스&amp;직접수집'!A:A,'wos(corecollection)_260528'!I84)</f>
        <v/>
      </c>
      <c r="BW84">
        <f>SUM(BU84:BV84)</f>
        <v/>
      </c>
    </row>
    <row r="85">
      <c r="A85" s="5" t="inlineStr">
        <is>
          <t>cyram 인용</t>
        </is>
      </c>
      <c r="B85" s="5" t="inlineStr">
        <is>
          <t>Choe, H; Lee, DH; Seo, IW; Kim, HD</t>
        </is>
      </c>
      <c r="C85" s="5" t="inlineStr"/>
      <c r="D85" s="5" t="inlineStr"/>
      <c r="E85" s="5" t="inlineStr"/>
      <c r="F85" s="5" t="inlineStr">
        <is>
          <t>Choe, Hochull; Lee, Duk Hee; Seo, Il Won; Kim, Hee Dae</t>
        </is>
      </c>
      <c r="G85" s="5" t="inlineStr"/>
      <c r="H85" s="5" t="inlineStr"/>
      <c r="I85" s="5" t="inlineStr">
        <is>
          <t>Patent citation network analysis for the domain of organic photovoltaic cells: Country, institution, and technology field</t>
        </is>
      </c>
      <c r="J85" s="5" t="inlineStr">
        <is>
          <t>RENEWABLE &amp; SUSTAINABLE ENERGY REVIEWS</t>
        </is>
      </c>
      <c r="K85" s="5" t="inlineStr"/>
      <c r="L85" s="5" t="inlineStr"/>
      <c r="M85" s="5" t="inlineStr"/>
      <c r="N85" s="5" t="inlineStr">
        <is>
          <t>Review</t>
        </is>
      </c>
      <c r="O85" s="5" t="inlineStr"/>
      <c r="P85" s="5" t="inlineStr"/>
      <c r="Q85" s="5" t="inlineStr"/>
      <c r="R85" s="5" t="inlineStr"/>
      <c r="S85" s="5" t="inlineStr"/>
      <c r="T85" s="5" t="inlineStr"/>
      <c r="U85" s="5" t="inlineStr"/>
      <c r="V85" s="5" t="inlineStr">
        <is>
          <t>The goal of this work is to understand the structure and characteristics of technological knowledge flows between countries, institutions, and technology fields in the field of organic photovoltaic cells. This study was conducted in three stages: data collection, network creation, and network analysis. For network analysis, network visualization, network topological analysis, and node centrality analysis were performed in sequence. The network topological analysis revealed that all three citation networks, i.e., countries, institutions, and technology fields, are scale-free networks that follow the power law and display, to a greater or lesser extent, a more efficient knowledge transfer capability than a random network of the same size. The node centrality analysis showed that the United States, Japan, and Germany are the most important citation centers in the country citation network, while Boeing, Konarka Technologies, Eastman Kodak, and Sharp are the most important in the institution citation network, and the U.S. patent classification (USPC) classes of 136, 257, and 428 are the most important in the technology field citation network, each playing critical roles in each the network as core nodes. In this study, we applied various concepts of centrality to the analysis of individual nodes and found that the results from the network topological analysis and the node centrality analysis are not significantly different. The proposed analysis framework in this paper is applicable to different science and technology domains. (C) 2013 Elsevier Ltd. All rights reserved.</t>
        </is>
      </c>
      <c r="W85" s="5" t="inlineStr">
        <is>
          <t>[Choe, Hochull] Korea Res Inst Chem Technol, Strategy &amp; Cooperat Div, Policy Dev Team, Taejon 305343, South Korea; [Choe, Hochull; Lee, Duk Hee; Seo, Il Won] Korea Adv Inst Sci &amp; Technol, Dept Management Sci, Taejon 305701, South Korea; [Kim, Hee Dae] Daegu Digital Ind Promot Agcy, Future Strategy Team, Taegu 705701, South Korea</t>
        </is>
      </c>
      <c r="X85" s="5" t="inlineStr"/>
      <c r="Y85" s="5" t="inlineStr">
        <is>
          <t>Lee, DH (corresponding author), Korea Adv Inst Sci &amp; Technol, Dept Management Sci, 335 Gwahakro, Taejon 305701, South Korea.</t>
        </is>
      </c>
      <c r="Z85" s="5" t="inlineStr">
        <is>
          <t>dhlnexys@kaist.ac.kr</t>
        </is>
      </c>
      <c r="AA85" s="5" t="inlineStr"/>
      <c r="AB85" s="5" t="inlineStr"/>
      <c r="AC85" s="5" t="inlineStr"/>
      <c r="AD85" s="5" t="inlineStr"/>
      <c r="AE85" s="5" t="inlineStr"/>
      <c r="AF85" s="5" t="inlineStr"/>
      <c r="AG85" s="5" t="n">
        <v>46</v>
      </c>
      <c r="AH85" s="5" t="n">
        <v>83</v>
      </c>
      <c r="AI85" s="5" t="n">
        <v>92</v>
      </c>
      <c r="AJ85" s="5" t="inlineStr"/>
      <c r="AK85" s="5" t="inlineStr"/>
      <c r="AL85" s="5" t="inlineStr"/>
      <c r="AM85" s="5" t="inlineStr"/>
      <c r="AN85" s="5" t="inlineStr"/>
      <c r="AO85" s="5" t="inlineStr"/>
      <c r="AP85" s="5" t="inlineStr"/>
      <c r="AQ85" s="5" t="inlineStr"/>
      <c r="AR85" s="5" t="inlineStr"/>
      <c r="AS85" s="5" t="inlineStr"/>
      <c r="AT85" s="5" t="inlineStr">
        <is>
          <t>OCT</t>
        </is>
      </c>
      <c r="AU85" s="5" t="n">
        <v>2013</v>
      </c>
      <c r="AV85" s="5" t="n">
        <v>26</v>
      </c>
      <c r="AW85" s="5" t="inlineStr"/>
      <c r="AX85" s="5" t="inlineStr"/>
      <c r="AY85" s="5" t="inlineStr"/>
      <c r="AZ85" s="5" t="inlineStr"/>
      <c r="BA85" s="5" t="inlineStr"/>
      <c r="BB85" s="5" t="n">
        <v>492</v>
      </c>
      <c r="BC85" s="5" t="n">
        <v>505</v>
      </c>
      <c r="BD85" s="5" t="inlineStr"/>
      <c r="BE85" s="5" t="inlineStr">
        <is>
          <t>10.1016/j.rser.2013.05.037</t>
        </is>
      </c>
      <c r="BF85" s="5" t="n">
        <v>0</v>
      </c>
      <c r="BG85" s="5" t="inlineStr"/>
      <c r="BH85" s="5" t="inlineStr"/>
      <c r="BI85" s="5" t="inlineStr"/>
      <c r="BJ85" s="5" t="inlineStr"/>
      <c r="BK85" s="5" t="inlineStr"/>
      <c r="BL85" s="5" t="inlineStr"/>
      <c r="BM85" s="5" t="inlineStr"/>
      <c r="BN85" s="5" t="inlineStr"/>
      <c r="BO85" s="5" t="inlineStr"/>
      <c r="BP85" s="5" t="inlineStr"/>
      <c r="BQ85" s="5" t="inlineStr"/>
      <c r="BR85" s="5" t="inlineStr">
        <is>
          <t>2026-05-29</t>
        </is>
      </c>
      <c r="BS85" s="5" t="inlineStr">
        <is>
          <t>WOS:000325836300037</t>
        </is>
      </c>
      <c r="BT85" s="5" t="n">
        <v>0</v>
      </c>
      <c r="BU85">
        <f>COUNTIF('오픈소스&amp;직접수집'!F:F,'wos(corecollection)_260528'!BE85)</f>
        <v/>
      </c>
      <c r="BV85">
        <f>COUNTIF('오픈소스&amp;직접수집'!A:A,'wos(corecollection)_260528'!I85)</f>
        <v/>
      </c>
      <c r="BW85">
        <f>SUM(BU85:BV85)</f>
        <v/>
      </c>
    </row>
    <row r="86">
      <c r="A86" s="5" t="inlineStr">
        <is>
          <t>cyram 인용</t>
        </is>
      </c>
      <c r="B86" s="5" t="inlineStr">
        <is>
          <t>Khan, GF; Park, HW</t>
        </is>
      </c>
      <c r="C86" s="5" t="inlineStr"/>
      <c r="D86" s="5" t="inlineStr"/>
      <c r="E86" s="5" t="inlineStr"/>
      <c r="F86" s="5" t="inlineStr">
        <is>
          <t>Khan, Gohar Feroz; Park, Han Woo</t>
        </is>
      </c>
      <c r="G86" s="5" t="inlineStr"/>
      <c r="H86" s="5" t="inlineStr"/>
      <c r="I86" s="5" t="inlineStr">
        <is>
          <t>The e-government research domain: A triple helix network analysis of collaboration at the regional, country, and institutional levels</t>
        </is>
      </c>
      <c r="J86" s="5" t="inlineStr">
        <is>
          <t>GOVERNMENT INFORMATION QUARTERLY</t>
        </is>
      </c>
      <c r="K86" s="5" t="inlineStr"/>
      <c r="L86" s="5" t="inlineStr"/>
      <c r="M86" s="5" t="inlineStr"/>
      <c r="N86" s="5" t="inlineStr">
        <is>
          <t>Article</t>
        </is>
      </c>
      <c r="O86" s="5" t="inlineStr"/>
      <c r="P86" s="5" t="inlineStr"/>
      <c r="Q86" s="5" t="inlineStr"/>
      <c r="R86" s="5" t="inlineStr"/>
      <c r="S86" s="5" t="inlineStr"/>
      <c r="T86" s="5" t="inlineStr"/>
      <c r="U86" s="5" t="inlineStr"/>
      <c r="V86" s="5" t="inlineStr">
        <is>
          <t>This study introduces a hybrid approach (i.e., a social network analysis technique and triple helix indicators) to study certain aspects of the e-government (EG) domain that would otherwise remain hidden when using conventional analytic tools. Particularly, we provide network analysis of the EG research domain by focusing on the network collaboration between regions, nations and institutions. We collected and analyzed 1091 scholarly papers which were classified as being about e-government by the Web of Science database. The results indicate that hybrid method can be used to understand certain network-level structures and patterns in the EG domain which are beyond the scope of the predominantly-used systematic literature review (SLR) method. Particularly, the hybrid method is useful in understanding collaboration patterns between countries, institutions and regions in the EG domain, identifying key players by studying their network properties (i.e., degree centralities); and in understanding the pattern of relations among universities, industries, and government. The implications of these results in terms of research and practice, and study limitations are discussed. (C) 2013 Elsevier Inc. All rights reserved.</t>
        </is>
      </c>
      <c r="W86" s="5" t="inlineStr">
        <is>
          <t>[Khan, Gohar Feroz] Korea Univ Technol &amp; Educ KoreaTECH, Sch Ind Management, Cheonan 330708, South Korea; [Park, Han Woo] Yeungnam Univ, Dept Media &amp; Commun, Gyongsan, Gyeongsangbuk D, South Korea</t>
        </is>
      </c>
      <c r="X86" s="5" t="inlineStr"/>
      <c r="Y86" s="5" t="inlineStr">
        <is>
          <t>Park, HW (corresponding author), Yeungnam Univ, Dept Media &amp; Commun, 214-1 Dae Dong, Gyongsan, Gyeongsangbuk D, South Korea.</t>
        </is>
      </c>
      <c r="Z86" s="5" t="inlineStr">
        <is>
          <t>gohar.feroz@gmail.com; hanpark@ynu.ac.kr</t>
        </is>
      </c>
      <c r="AA86" s="5" t="inlineStr"/>
      <c r="AB86" s="5" t="inlineStr"/>
      <c r="AC86" s="5" t="inlineStr"/>
      <c r="AD86" s="5" t="inlineStr"/>
      <c r="AE86" s="5" t="inlineStr"/>
      <c r="AF86" s="5" t="inlineStr"/>
      <c r="AG86" s="5" t="n">
        <v>61</v>
      </c>
      <c r="AH86" s="5" t="n">
        <v>57</v>
      </c>
      <c r="AI86" s="5" t="n">
        <v>63</v>
      </c>
      <c r="AJ86" s="5" t="inlineStr"/>
      <c r="AK86" s="5" t="inlineStr"/>
      <c r="AL86" s="5" t="inlineStr"/>
      <c r="AM86" s="5" t="inlineStr"/>
      <c r="AN86" s="5" t="inlineStr"/>
      <c r="AO86" s="5" t="inlineStr"/>
      <c r="AP86" s="5" t="inlineStr"/>
      <c r="AQ86" s="5" t="inlineStr"/>
      <c r="AR86" s="5" t="inlineStr"/>
      <c r="AS86" s="5" t="inlineStr"/>
      <c r="AT86" s="5" t="inlineStr">
        <is>
          <t>APR</t>
        </is>
      </c>
      <c r="AU86" s="5" t="n">
        <v>2013</v>
      </c>
      <c r="AV86" s="5" t="n">
        <v>30</v>
      </c>
      <c r="AW86" s="5" t="n">
        <v>2</v>
      </c>
      <c r="AX86" s="5" t="inlineStr"/>
      <c r="AY86" s="5" t="inlineStr"/>
      <c r="AZ86" s="5" t="inlineStr"/>
      <c r="BA86" s="5" t="inlineStr"/>
      <c r="BB86" s="5" t="n">
        <v>182</v>
      </c>
      <c r="BC86" s="5" t="n">
        <v>193</v>
      </c>
      <c r="BD86" s="5" t="inlineStr"/>
      <c r="BE86" s="5" t="inlineStr">
        <is>
          <t>10.1016/j.giq.2012.09.003</t>
        </is>
      </c>
      <c r="BF86" s="5" t="n">
        <v>0</v>
      </c>
      <c r="BG86" s="5" t="inlineStr"/>
      <c r="BH86" s="5" t="inlineStr"/>
      <c r="BI86" s="5" t="inlineStr"/>
      <c r="BJ86" s="5" t="inlineStr"/>
      <c r="BK86" s="5" t="inlineStr"/>
      <c r="BL86" s="5" t="inlineStr"/>
      <c r="BM86" s="5" t="inlineStr"/>
      <c r="BN86" s="5" t="inlineStr"/>
      <c r="BO86" s="5" t="inlineStr"/>
      <c r="BP86" s="5" t="inlineStr"/>
      <c r="BQ86" s="5" t="inlineStr"/>
      <c r="BR86" s="5" t="inlineStr">
        <is>
          <t>2026-05-29</t>
        </is>
      </c>
      <c r="BS86" s="5" t="inlineStr">
        <is>
          <t>WOS:000316974200007</t>
        </is>
      </c>
      <c r="BT86" s="5" t="n">
        <v>0</v>
      </c>
      <c r="BU86">
        <f>COUNTIF('오픈소스&amp;직접수집'!F:F,'wos(corecollection)_260528'!BE86)</f>
        <v/>
      </c>
      <c r="BV86">
        <f>COUNTIF('오픈소스&amp;직접수집'!A:A,'wos(corecollection)_260528'!I86)</f>
        <v/>
      </c>
      <c r="BW86">
        <f>SUM(BU86:BV86)</f>
        <v/>
      </c>
    </row>
    <row r="87">
      <c r="A87" s="5" t="inlineStr">
        <is>
          <t>cyram 인용</t>
        </is>
      </c>
      <c r="B87" s="5" t="inlineStr">
        <is>
          <t>Cimon, Y</t>
        </is>
      </c>
      <c r="C87" s="5" t="inlineStr"/>
      <c r="D87" s="5" t="inlineStr"/>
      <c r="E87" s="5" t="inlineStr"/>
      <c r="F87" s="5" t="inlineStr">
        <is>
          <t>Cimon, Yan</t>
        </is>
      </c>
      <c r="G87" s="5" t="inlineStr"/>
      <c r="H87" s="5" t="inlineStr"/>
      <c r="I87" s="5" t="inlineStr">
        <is>
          <t>Alliances in networks: insights from blockmodeling</t>
        </is>
      </c>
      <c r="J87" s="5" t="inlineStr">
        <is>
          <t>KYBERNETES</t>
        </is>
      </c>
      <c r="K87" s="5" t="inlineStr"/>
      <c r="L87" s="5" t="inlineStr"/>
      <c r="M87" s="5" t="inlineStr"/>
      <c r="N87" s="5" t="inlineStr">
        <is>
          <t>Article</t>
        </is>
      </c>
      <c r="O87" s="5" t="inlineStr"/>
      <c r="P87" s="5" t="inlineStr"/>
      <c r="Q87" s="5" t="inlineStr"/>
      <c r="R87" s="5" t="inlineStr"/>
      <c r="S87" s="5" t="inlineStr"/>
      <c r="T87" s="5" t="inlineStr"/>
      <c r="U87" s="5" t="inlineStr"/>
      <c r="V87" s="5" t="inlineStr">
        <is>
          <t>Purpose - Economic agents in systems (individuals, firms, government organizations, etc.) engage in a wide range of cooperative activities that may be mapped as networks. This paper aims at determining whether alliances embedded in such networks show higher densities of interaction between agents than other network subsets. Design/methodology/approach - This paper uses the blockmodeling technique on a unique sample of armed forces that have engaged in repeated cooperative behaviour over a decade. Findings - This study finds that the alliance in the sample does exhibit a significantly higher density of interaction than the rest of the network. Research limitations/implications - Using blockmodeling may be necessary, but not sufficient, to ascertain the presence of undisclosed alliances in networks. Practical implications This work is useful for the detection of potential or actual collusive behaviour in the form of higher densities of interactions between agents in systems. Originality/value - Blockmodeling, as a technique, and agents like armed forces, as a sample, are uncommon occurrences in the contemporary cybernetics and general systems literature. This paper provides novel insights to research on collaborative behaviour.</t>
        </is>
      </c>
      <c r="W87" s="5" t="inlineStr">
        <is>
          <t>[Cimon, Yan] Univ Laval, Fac Business Adm, Quebec City, PQ, Canada; [Cimon, Yan] Univ Laval, Interuniv Res Ctr Enterprise Networks Logist &amp; Tr, Quebec City, PQ, Canada</t>
        </is>
      </c>
      <c r="X87" s="5" t="inlineStr"/>
      <c r="Y87" s="5" t="inlineStr">
        <is>
          <t>Cimon, Y (corresponding author), Univ Laval, Fac Business Adm, Quebec City, PQ, Canada.</t>
        </is>
      </c>
      <c r="Z87" s="5" t="inlineStr">
        <is>
          <t>yan.cimon@fsa.ulaval.ca</t>
        </is>
      </c>
      <c r="AA87" s="5" t="inlineStr"/>
      <c r="AB87" s="5" t="inlineStr"/>
      <c r="AC87" s="5" t="inlineStr"/>
      <c r="AD87" s="5" t="inlineStr"/>
      <c r="AE87" s="5" t="inlineStr"/>
      <c r="AF87" s="5" t="inlineStr"/>
      <c r="AG87" s="5" t="n">
        <v>24</v>
      </c>
      <c r="AH87" s="5" t="n">
        <v>1</v>
      </c>
      <c r="AI87" s="5" t="n">
        <v>1</v>
      </c>
      <c r="AJ87" s="5" t="inlineStr"/>
      <c r="AK87" s="5" t="inlineStr"/>
      <c r="AL87" s="5" t="inlineStr"/>
      <c r="AM87" s="5" t="inlineStr"/>
      <c r="AN87" s="5" t="inlineStr"/>
      <c r="AO87" s="5" t="inlineStr"/>
      <c r="AP87" s="5" t="inlineStr"/>
      <c r="AQ87" s="5" t="inlineStr"/>
      <c r="AR87" s="5" t="inlineStr"/>
      <c r="AS87" s="5" t="inlineStr"/>
      <c r="AT87" s="5" t="inlineStr"/>
      <c r="AU87" s="5" t="n">
        <v>2013</v>
      </c>
      <c r="AV87" s="5" t="n">
        <v>42</v>
      </c>
      <c r="AW87" s="5" t="n">
        <v>6</v>
      </c>
      <c r="AX87" s="5" t="inlineStr"/>
      <c r="AY87" s="5" t="inlineStr"/>
      <c r="AZ87" s="5" t="inlineStr"/>
      <c r="BA87" s="5" t="inlineStr"/>
      <c r="BB87" s="5" t="n">
        <v>955</v>
      </c>
      <c r="BC87" s="5" t="n">
        <v>961</v>
      </c>
      <c r="BD87" s="5" t="inlineStr"/>
      <c r="BE87" s="5" t="inlineStr">
        <is>
          <t>10.1108/K-05-2013-0100</t>
        </is>
      </c>
      <c r="BF87" s="5" t="n">
        <v>0</v>
      </c>
      <c r="BG87" s="5" t="inlineStr"/>
      <c r="BH87" s="5" t="inlineStr"/>
      <c r="BI87" s="5" t="inlineStr"/>
      <c r="BJ87" s="5" t="inlineStr"/>
      <c r="BK87" s="5" t="inlineStr"/>
      <c r="BL87" s="5" t="inlineStr"/>
      <c r="BM87" s="5" t="inlineStr"/>
      <c r="BN87" s="5" t="inlineStr"/>
      <c r="BO87" s="5" t="inlineStr"/>
      <c r="BP87" s="5" t="inlineStr"/>
      <c r="BQ87" s="5" t="inlineStr"/>
      <c r="BR87" s="5" t="inlineStr">
        <is>
          <t>2026-05-29</t>
        </is>
      </c>
      <c r="BS87" s="5" t="inlineStr">
        <is>
          <t>WOS:000325039300008</t>
        </is>
      </c>
      <c r="BT87" s="5" t="n">
        <v>0</v>
      </c>
      <c r="BU87">
        <f>COUNTIF('오픈소스&amp;직접수집'!F:F,'wos(corecollection)_260528'!BE87)</f>
        <v/>
      </c>
      <c r="BV87">
        <f>COUNTIF('오픈소스&amp;직접수집'!A:A,'wos(corecollection)_260528'!I87)</f>
        <v/>
      </c>
      <c r="BW87">
        <f>SUM(BU87:BV87)</f>
        <v/>
      </c>
    </row>
    <row r="88">
      <c r="A88" s="5" t="inlineStr">
        <is>
          <t>cyram 인용</t>
        </is>
      </c>
      <c r="B88" s="5" t="inlineStr">
        <is>
          <t>Khalid, A; Afzal, MT; Qadir, MA</t>
        </is>
      </c>
      <c r="C88" s="5" t="inlineStr"/>
      <c r="D88" s="5" t="inlineStr">
        <is>
          <t>Ko, FIS; DalKwack, K; Hwang, S; Kawata, S; Chen, YW</t>
        </is>
      </c>
      <c r="E88" s="5" t="inlineStr"/>
      <c r="F88" s="5" t="inlineStr">
        <is>
          <t>Khalid, Afsheen; Afzal, Muhammad Tanvir; Qadir, Muhammad Abdul</t>
        </is>
      </c>
      <c r="G88" s="5" t="inlineStr"/>
      <c r="H88" s="5" t="inlineStr"/>
      <c r="I88" s="5" t="inlineStr">
        <is>
          <t>Citation Network Visualization of CiteSeer Dataset</t>
        </is>
      </c>
      <c r="J88" s="5" t="inlineStr">
        <is>
          <t>2011 6TH INTERNATIONAL CONFERENCE ON COMPUTER SCIENCES AND CONVERGENCE INFORMATION TECHNOLOGY (ICCIT)</t>
        </is>
      </c>
      <c r="K88" s="5" t="inlineStr"/>
      <c r="L88" s="5" t="inlineStr"/>
      <c r="M88" s="5" t="inlineStr"/>
      <c r="N88" s="5" t="inlineStr">
        <is>
          <t>Proceedings Paper</t>
        </is>
      </c>
      <c r="O88" s="5" t="inlineStr">
        <is>
          <t>6th International Conference on Computer Sciences and Convergence Information Technology (ICCIT)</t>
        </is>
      </c>
      <c r="P88" s="5" t="inlineStr">
        <is>
          <t>NOV 29-DEC 01, 2011</t>
        </is>
      </c>
      <c r="Q88" s="5" t="inlineStr">
        <is>
          <t>Jeju Island, SOUTH KOREA</t>
        </is>
      </c>
      <c r="R88" s="5" t="inlineStr"/>
      <c r="S88" s="5" t="inlineStr"/>
      <c r="T88" s="5" t="inlineStr"/>
      <c r="U88" s="5" t="inlineStr"/>
      <c r="V88" s="5" t="inlineStr">
        <is>
          <t>Citation networks are very dense and large networks. The visualization of such dense networks is a tough task. Furthermore, most of the available tools provide visualization of such networks in the form of static images. However, the static images are not of any use for the users as user cannot interact with the system and cannot find the required information. In this paper, we have implemented a system that generates a dynamic network of citations. We have used CiteSeer dataset for citation network. We have provided the functionalities where a user can magnify the shown graph and can view all the citations of the required selected paper in a radial tree form. We have also provided a lens facility that provides a hyperbolic view and user can zoom in and out the graph in the area of lens. We created this citation network in Pajek tool and then extended the tool by incorporating JUNG libraries of java.</t>
        </is>
      </c>
      <c r="W88" s="5" t="inlineStr">
        <is>
          <t>[Khalid, Afsheen] Inst Management Sci, Peshawar, Pakistan; [Afzal, Muhammad Tanvir] Muhammad Ali Jinnah Univ, Ctr Distributed &amp; Semant Comp, Islamabad, Pakistan; [Qadir, Muhammad Abdul] Mohammad Ali Jinnah Univ, Ctr Distributed &amp; Semant Comp, Islamabad, Pakistan</t>
        </is>
      </c>
      <c r="X88" s="5" t="inlineStr"/>
      <c r="Y88" s="5" t="inlineStr">
        <is>
          <t>Khalid, A (corresponding author), Inst Management Sci, Peshawar, Pakistan.</t>
        </is>
      </c>
      <c r="Z88" s="5" t="inlineStr">
        <is>
          <t>afdkhan@yahoo.com; mafzal@jinnah.edu.pk; aqadir@jinnah.edu.pk</t>
        </is>
      </c>
      <c r="AA88" s="5" t="inlineStr"/>
      <c r="AB88" s="5" t="inlineStr"/>
      <c r="AC88" s="5" t="inlineStr"/>
      <c r="AD88" s="5" t="inlineStr"/>
      <c r="AE88" s="5" t="inlineStr"/>
      <c r="AF88" s="5" t="inlineStr"/>
      <c r="AG88" s="5" t="n">
        <v>22</v>
      </c>
      <c r="AH88" s="5" t="n">
        <v>1</v>
      </c>
      <c r="AI88" s="5" t="n">
        <v>1</v>
      </c>
      <c r="AJ88" s="5" t="inlineStr"/>
      <c r="AK88" s="5" t="inlineStr"/>
      <c r="AL88" s="5" t="inlineStr"/>
      <c r="AM88" s="5" t="inlineStr"/>
      <c r="AN88" s="5" t="inlineStr"/>
      <c r="AO88" s="5" t="inlineStr"/>
      <c r="AP88" s="5" t="inlineStr"/>
      <c r="AQ88" s="5" t="inlineStr"/>
      <c r="AR88" s="5" t="inlineStr"/>
      <c r="AS88" s="5" t="inlineStr"/>
      <c r="AT88" s="5" t="inlineStr"/>
      <c r="AU88" s="5" t="n">
        <v>2012</v>
      </c>
      <c r="AV88" s="5" t="inlineStr"/>
      <c r="AW88" s="5" t="inlineStr"/>
      <c r="AX88" s="5" t="inlineStr"/>
      <c r="AY88" s="5" t="inlineStr"/>
      <c r="AZ88" s="5" t="inlineStr"/>
      <c r="BA88" s="5" t="inlineStr"/>
      <c r="BB88" s="5" t="n">
        <v>367</v>
      </c>
      <c r="BC88" s="5" t="n">
        <v>370</v>
      </c>
      <c r="BD88" s="5" t="inlineStr"/>
      <c r="BE88" s="5" t="inlineStr"/>
      <c r="BF88" s="5" t="inlineStr"/>
      <c r="BG88" s="5" t="inlineStr"/>
      <c r="BH88" s="5" t="inlineStr"/>
      <c r="BI88" s="5" t="inlineStr"/>
      <c r="BJ88" s="5" t="inlineStr"/>
      <c r="BK88" s="5" t="inlineStr"/>
      <c r="BL88" s="5" t="inlineStr"/>
      <c r="BM88" s="5" t="inlineStr"/>
      <c r="BN88" s="5" t="inlineStr"/>
      <c r="BO88" s="5" t="inlineStr"/>
      <c r="BP88" s="5" t="inlineStr"/>
      <c r="BQ88" s="5" t="inlineStr"/>
      <c r="BR88" s="5" t="inlineStr">
        <is>
          <t>2026-05-29</t>
        </is>
      </c>
      <c r="BS88" s="5" t="inlineStr">
        <is>
          <t>WOS:000309767600075</t>
        </is>
      </c>
      <c r="BT88" s="5" t="n">
        <v>0</v>
      </c>
      <c r="BU88" t="inlineStr">
        <is>
          <t>-</t>
        </is>
      </c>
      <c r="BV88">
        <f>COUNTIF('오픈소스&amp;직접수집'!A:A,'wos(corecollection)_260528'!I88)</f>
        <v/>
      </c>
      <c r="BW88">
        <f>SUM(BU88:BV88)</f>
        <v/>
      </c>
    </row>
    <row r="89">
      <c r="A89" s="5" t="inlineStr">
        <is>
          <t>cyram 인용</t>
        </is>
      </c>
      <c r="B89" s="5" t="inlineStr">
        <is>
          <t>Yang, J; Shen, GQP; Bourne, L; Ho, CMF; Xue, XL</t>
        </is>
      </c>
      <c r="C89" s="5" t="inlineStr"/>
      <c r="D89" s="5" t="inlineStr"/>
      <c r="E89" s="5" t="inlineStr"/>
      <c r="F89" s="5" t="inlineStr">
        <is>
          <t>Yang, Jing; Shen, Geoffrey Qiping; Bourne, Lynda; Ho, Christabel Man-Fong; Xue, Xiaolong</t>
        </is>
      </c>
      <c r="G89" s="5" t="inlineStr"/>
      <c r="H89" s="5" t="inlineStr"/>
      <c r="I89" s="5" t="inlineStr">
        <is>
          <t>A typology of operational approaches for stakeholder analysis and engagement</t>
        </is>
      </c>
      <c r="J89" s="5" t="inlineStr">
        <is>
          <t>CONSTRUCTION MANAGEMENT AND ECONOMICS</t>
        </is>
      </c>
      <c r="K89" s="5" t="inlineStr"/>
      <c r="L89" s="5" t="inlineStr"/>
      <c r="M89" s="5" t="inlineStr"/>
      <c r="N89" s="5" t="inlineStr">
        <is>
          <t>Article</t>
        </is>
      </c>
      <c r="O89" s="5" t="inlineStr"/>
      <c r="P89" s="5" t="inlineStr"/>
      <c r="Q89" s="5" t="inlineStr"/>
      <c r="R89" s="5" t="inlineStr"/>
      <c r="S89" s="5" t="inlineStr"/>
      <c r="T89" s="5" t="inlineStr"/>
      <c r="U89" s="5" t="inlineStr"/>
      <c r="V89" s="5" t="inlineStr">
        <is>
          <t>Stakeholder analysis and engagement are the main tasks in stakeholder management. To identify operational approaches for stakeholder analysis and engagement, six interviews and a questionnaire survey were conducted in Hong Kong, and an additional 15 interviews were held in Australia. The main finding is a typology of practical approaches for practitioners in construction. A total of 30 approaches are comprised in the typology, and they are classified by application. To test the usefulness of the typology, action research is applied to two real-life projects in Australia. The implication is that the selection of the approaches is an art and a contingency approach as well, requiring practitioners' judgments. Each approach has its strengths and limitations, so the most appropriate way for effective stakeholder management is to use a combination of elements from each approach as circumstances dictate. This study can serve as a reference for the systematic consideration of the project management team about the operational approaches for stakeholder management in construction projects.</t>
        </is>
      </c>
      <c r="W89" s="5" t="inlineStr">
        <is>
          <t>[Yang, Jing] Deakin Univ, Sch Architecture &amp; Bldg, Geelong, Vic, Australia; [Shen, Geoffrey Qiping; Ho, Christabel Man-Fong] Hong Kong Polytech Univ, Dept Bldg &amp; Real Estate, Hong Hom, Hong Kong, Peoples R China; [Bourne, Lynda] Stakeholder Management Pty Ltd, Melbourne, Vic, Australia; [Xue, Xiaolong] Harbin Inst Technol, Dept Construct &amp; Real Estate, Harbin, Peoples R China</t>
        </is>
      </c>
      <c r="X89" s="5" t="inlineStr"/>
      <c r="Y89" s="5" t="inlineStr">
        <is>
          <t>Yang, J (corresponding author), Deakin Univ, Sch Architecture &amp; Bldg, Geelong, Vic, Australia.</t>
        </is>
      </c>
      <c r="Z89" s="5" t="inlineStr">
        <is>
          <t>mrliljj24@yahoo.com</t>
        </is>
      </c>
      <c r="AA89" s="5" t="inlineStr"/>
      <c r="AB89" s="5" t="inlineStr"/>
      <c r="AC89" s="5" t="inlineStr"/>
      <c r="AD89" s="5" t="inlineStr"/>
      <c r="AE89" s="5" t="inlineStr"/>
      <c r="AF89" s="5" t="inlineStr"/>
      <c r="AG89" s="5" t="n">
        <v>45</v>
      </c>
      <c r="AH89" s="5" t="n">
        <v>77</v>
      </c>
      <c r="AI89" s="5" t="n">
        <v>98</v>
      </c>
      <c r="AJ89" s="5" t="inlineStr"/>
      <c r="AK89" s="5" t="inlineStr"/>
      <c r="AL89" s="5" t="inlineStr"/>
      <c r="AM89" s="5" t="inlineStr"/>
      <c r="AN89" s="5" t="inlineStr"/>
      <c r="AO89" s="5" t="inlineStr"/>
      <c r="AP89" s="5" t="inlineStr"/>
      <c r="AQ89" s="5" t="inlineStr"/>
      <c r="AR89" s="5" t="inlineStr"/>
      <c r="AS89" s="5" t="inlineStr"/>
      <c r="AT89" s="5" t="inlineStr"/>
      <c r="AU89" s="5" t="n">
        <v>2011</v>
      </c>
      <c r="AV89" s="5" t="n">
        <v>29</v>
      </c>
      <c r="AW89" s="5" t="n">
        <v>2</v>
      </c>
      <c r="AX89" s="5" t="inlineStr"/>
      <c r="AY89" s="5" t="inlineStr"/>
      <c r="AZ89" s="5" t="inlineStr"/>
      <c r="BA89" s="5" t="inlineStr"/>
      <c r="BB89" s="5" t="n">
        <v>145</v>
      </c>
      <c r="BC89" s="5" t="n">
        <v>162</v>
      </c>
      <c r="BD89" s="5" t="inlineStr"/>
      <c r="BE89" s="5" t="inlineStr">
        <is>
          <t>10.1080/01446193.2010.521759</t>
        </is>
      </c>
      <c r="BF89" s="5" t="n">
        <v>0</v>
      </c>
      <c r="BG89" s="5" t="inlineStr"/>
      <c r="BH89" s="5" t="inlineStr"/>
      <c r="BI89" s="5" t="inlineStr"/>
      <c r="BJ89" s="5" t="inlineStr"/>
      <c r="BK89" s="5" t="inlineStr"/>
      <c r="BL89" s="5" t="inlineStr"/>
      <c r="BM89" s="5" t="inlineStr"/>
      <c r="BN89" s="5" t="inlineStr"/>
      <c r="BO89" s="5" t="inlineStr"/>
      <c r="BP89" s="5" t="inlineStr"/>
      <c r="BQ89" s="5" t="inlineStr"/>
      <c r="BR89" s="5" t="inlineStr">
        <is>
          <t>2026-05-29</t>
        </is>
      </c>
      <c r="BS89" s="5" t="inlineStr">
        <is>
          <t>WOS:000213300800004</t>
        </is>
      </c>
      <c r="BT89" s="5" t="n">
        <v>0</v>
      </c>
      <c r="BU89">
        <f>COUNTIF('오픈소스&amp;직접수집'!F:F,'wos(corecollection)_260528'!BE89)</f>
        <v/>
      </c>
      <c r="BV89">
        <f>COUNTIF('오픈소스&amp;직접수집'!A:A,'wos(corecollection)_260528'!I89)</f>
        <v/>
      </c>
      <c r="BW89">
        <f>SUM(BU89:BV89)</f>
        <v/>
      </c>
    </row>
    <row r="90">
      <c r="A90" s="5" t="inlineStr">
        <is>
          <t>cyram 인용</t>
        </is>
      </c>
      <c r="B90" s="5" t="inlineStr">
        <is>
          <t>Caschera, MC; Ferri, F; Grifoni, P</t>
        </is>
      </c>
      <c r="C90" s="5" t="inlineStr"/>
      <c r="D90" s="5" t="inlineStr"/>
      <c r="E90" s="5" t="inlineStr"/>
      <c r="F90" s="5" t="inlineStr">
        <is>
          <t>Caschera, Maria Chiara; Ferri, Fernando; Grifoni, Patrizia</t>
        </is>
      </c>
      <c r="G90" s="5" t="inlineStr"/>
      <c r="H90" s="5" t="inlineStr"/>
      <c r="I90" s="5" t="inlineStr">
        <is>
          <t>SIM: A dynamic multidimensional visualization method for social networks</t>
        </is>
      </c>
      <c r="J90" s="5" t="inlineStr">
        <is>
          <t>PSYCHNOLOGY JOURNAL</t>
        </is>
      </c>
      <c r="K90" s="5" t="inlineStr"/>
      <c r="L90" s="5" t="inlineStr"/>
      <c r="M90" s="5" t="inlineStr"/>
      <c r="N90" s="5" t="inlineStr">
        <is>
          <t>Article</t>
        </is>
      </c>
      <c r="O90" s="5" t="inlineStr"/>
      <c r="P90" s="5" t="inlineStr"/>
      <c r="Q90" s="5" t="inlineStr"/>
      <c r="R90" s="5" t="inlineStr"/>
      <c r="S90" s="5" t="inlineStr"/>
      <c r="T90" s="5" t="inlineStr"/>
      <c r="U90" s="5" t="inlineStr"/>
      <c r="V90" s="5" t="inlineStr">
        <is>
          <t>Visualization plays an important role in social networks analysis to explore and investigate individual and groups behaviours. Therefore, different approaches have been proposed for managing networks patterns and structures according to the visualization purposes. This paper presents a method of social networks visualization devoted not only to analyse individual and group social networking but also aimed to stimulate the second-one. This method provides (using a hybrid visualization approach) both an egocentric as well as a global point of view. Indeed, it is devoted to explore the social network structure, to analyse social aggregations and/or individuals and their evolution. Moreover, it considers and integrates features such as real-time social network elements locations in local areas. Multidimensionality consists of social phenomena, their evolution during the time, their individual characterization, the elements social position, and their spatial location. The proposed method was evaluated using the Social Interaction Map (SIM) software module in the scenario of planning and managing a scientific seminars cycle. This method enables the analysis of the topics evolution and the participants' scientific interests changes using a temporal layers sequence for topics. This knowledge provides information for planning next conference and events, to extend and modify main topics and to analyse research interests trends.</t>
        </is>
      </c>
      <c r="W90" s="5" t="inlineStr">
        <is>
          <t>[Caschera, Maria Chiara; Ferri, Fernando; Grifoni, Patrizia] Inst Res Populat &amp; Social Policies, Natl Res Council, IRPPS, CNR, Rome, Italy</t>
        </is>
      </c>
      <c r="X90" s="5" t="inlineStr"/>
      <c r="Y90" s="5" t="inlineStr">
        <is>
          <t>Caschera, MC (corresponding author), Inst Res Populat &amp; Social Policies, Natl Res Council, Rome, Italy.</t>
        </is>
      </c>
      <c r="Z90" s="5" t="inlineStr">
        <is>
          <t>mc.caschera@irpps.cnr.it</t>
        </is>
      </c>
      <c r="AA90" s="5" t="inlineStr"/>
      <c r="AB90" s="5" t="inlineStr"/>
      <c r="AC90" s="5" t="inlineStr"/>
      <c r="AD90" s="5" t="inlineStr"/>
      <c r="AE90" s="5" t="inlineStr"/>
      <c r="AF90" s="5" t="inlineStr"/>
      <c r="AG90" s="5" t="n">
        <v>20</v>
      </c>
      <c r="AH90" s="5" t="n">
        <v>7</v>
      </c>
      <c r="AI90" s="5" t="n">
        <v>8</v>
      </c>
      <c r="AJ90" s="5" t="inlineStr"/>
      <c r="AK90" s="5" t="inlineStr"/>
      <c r="AL90" s="5" t="inlineStr"/>
      <c r="AM90" s="5" t="inlineStr"/>
      <c r="AN90" s="5" t="inlineStr"/>
      <c r="AO90" s="5" t="inlineStr"/>
      <c r="AP90" s="5" t="inlineStr"/>
      <c r="AQ90" s="5" t="inlineStr"/>
      <c r="AR90" s="5" t="inlineStr"/>
      <c r="AS90" s="5" t="inlineStr"/>
      <c r="AT90" s="5" t="inlineStr"/>
      <c r="AU90" s="5" t="n">
        <v>2008</v>
      </c>
      <c r="AV90" s="5" t="n">
        <v>6</v>
      </c>
      <c r="AW90" s="5" t="n">
        <v>3</v>
      </c>
      <c r="AX90" s="5" t="inlineStr"/>
      <c r="AY90" s="5" t="inlineStr"/>
      <c r="AZ90" s="5" t="inlineStr">
        <is>
          <t>SI</t>
        </is>
      </c>
      <c r="BA90" s="5" t="inlineStr"/>
      <c r="BB90" s="5" t="n">
        <v>291</v>
      </c>
      <c r="BC90" s="5" t="n">
        <v>320</v>
      </c>
      <c r="BD90" s="5" t="inlineStr"/>
      <c r="BE90" s="5" t="inlineStr"/>
      <c r="BF90" s="5" t="inlineStr"/>
      <c r="BG90" s="5" t="inlineStr"/>
      <c r="BH90" s="5" t="inlineStr"/>
      <c r="BI90" s="5" t="inlineStr"/>
      <c r="BJ90" s="5" t="inlineStr"/>
      <c r="BK90" s="5" t="inlineStr"/>
      <c r="BL90" s="5" t="inlineStr"/>
      <c r="BM90" s="5" t="inlineStr"/>
      <c r="BN90" s="5" t="inlineStr"/>
      <c r="BO90" s="5" t="inlineStr"/>
      <c r="BP90" s="5" t="inlineStr"/>
      <c r="BQ90" s="5" t="inlineStr"/>
      <c r="BR90" s="5" t="inlineStr">
        <is>
          <t>2026-05-29</t>
        </is>
      </c>
      <c r="BS90" s="5" t="inlineStr">
        <is>
          <t>WOS:000416898200005</t>
        </is>
      </c>
      <c r="BT90" s="5" t="n">
        <v>0</v>
      </c>
      <c r="BU90" t="inlineStr">
        <is>
          <t>-</t>
        </is>
      </c>
      <c r="BV90">
        <f>COUNTIF('오픈소스&amp;직접수집'!A:A,'wos(corecollection)_260528'!I90)</f>
        <v/>
      </c>
      <c r="BW90">
        <f>SUM(BU90:BV90)</f>
        <v/>
      </c>
    </row>
    <row r="91">
      <c r="A91" s="5" t="inlineStr">
        <is>
          <t>cyram 인용</t>
        </is>
      </c>
      <c r="B91" s="5" t="inlineStr">
        <is>
          <t>Kim, H; Rhee, EY; Yee, J</t>
        </is>
      </c>
      <c r="C91" s="5" t="inlineStr"/>
      <c r="D91" s="5" t="inlineStr"/>
      <c r="E91" s="5" t="inlineStr"/>
      <c r="F91" s="5" t="inlineStr">
        <is>
          <t>Kim, Hyunsook; Rhee, Eun-Young; Yee, Jaeyeol</t>
        </is>
      </c>
      <c r="G91" s="5" t="inlineStr"/>
      <c r="H91" s="5" t="inlineStr"/>
      <c r="I91" s="5" t="inlineStr">
        <is>
          <t>Comparing fashion process networks and friendship networks in small groups of adolescents</t>
        </is>
      </c>
      <c r="J91" s="5" t="inlineStr">
        <is>
          <t>JOURNAL OF FASHION MARKETING AND MANAGEMENT</t>
        </is>
      </c>
      <c r="K91" s="5" t="inlineStr"/>
      <c r="L91" s="5" t="inlineStr"/>
      <c r="M91" s="5" t="inlineStr"/>
      <c r="N91" s="5" t="inlineStr">
        <is>
          <t>Article</t>
        </is>
      </c>
      <c r="O91" s="5" t="inlineStr"/>
      <c r="P91" s="5" t="inlineStr"/>
      <c r="Q91" s="5" t="inlineStr"/>
      <c r="R91" s="5" t="inlineStr"/>
      <c r="S91" s="5" t="inlineStr"/>
      <c r="T91" s="5" t="inlineStr"/>
      <c r="U91" s="5" t="inlineStr"/>
      <c r="V91" s="5" t="inlineStr">
        <is>
          <t>Purpose - The purpose of this paper is to gain a better understanding of the fashion process by exploring and comparing fashion-process networks and friendship networks in small groups of adolescents, and to explore the factors involved in the causation of clothing leadership and popularity in such groups. Design/methodology/approach - Fashion-process networks and friendship networks are investigated by sociometric nomination with respect to clothing acceptance and social acceptance in three age groups of Korean adolescents. The patterns and structures of the networks are analyzed using UCINET 6.0 and Netminer 2.6. Certain factors contributing to clothing leadership and popularity are measured using Likert-type scales; these include clothing interest, fashion interest, and perceived clothing acceptance.Other factors of interest (such as academic grade, facial attractiveness, and bodily attractiveness) are rated by peer informants. Findings - Fashion-process networks are found to be more centralized and polarized than friendship networks. Clothing acceptance is related to peer acceptance and is found to occur within and across friendship links. Clothing leaders are not necessarily the most popular subjects. The most significant factor determining clothing leadership is found to be facial attractiveness. Research limitations/implications - Social network analysis is exploratory in nature and the results cannot be statistically verified. However, a better understanding of the characteristics of fashion-process networks in small groups assists in bridging the gap between individual adoption of fashion at the micro-level and fashion diffusion in society at the macro-level. Practical implications - By illuminating the dynamics of the fashion process in small groups, the study is of assistance in developing marketing strategies that target adolescents. Originality/value - The study is original in that fashion process in small groups of Korean adolescents is investigated by social network analysis of clothing acceptance, and then compared to friendship networks.</t>
        </is>
      </c>
      <c r="W91" s="5" t="inlineStr">
        <is>
          <t>[Kim, Hyunsook; Rhee, Eun-Young] Seoul Natl Univ, Dept Clothing &amp; Text, Seoul, South Korea; [Rhee, Eun-Young] Seoul Natl Univ, Res Inst Human Ecol, Seoul, South Korea; [Yee, Jaeyeol] Seoul Natl Univ, Dept Sociol, Seoul, South Korea</t>
        </is>
      </c>
      <c r="X91" s="5" t="inlineStr"/>
      <c r="Y91" s="5" t="inlineStr">
        <is>
          <t>Kim, H (corresponding author), Seoul Natl Univ, Dept Clothing &amp; Text, Seoul, South Korea.</t>
        </is>
      </c>
      <c r="Z91" s="5" t="inlineStr">
        <is>
          <t>hskim88@gmail.com</t>
        </is>
      </c>
      <c r="AA91" s="5" t="inlineStr"/>
      <c r="AB91" s="5" t="inlineStr"/>
      <c r="AC91" s="5" t="inlineStr"/>
      <c r="AD91" s="5" t="inlineStr"/>
      <c r="AE91" s="5" t="inlineStr"/>
      <c r="AF91" s="5" t="inlineStr"/>
      <c r="AG91" s="5" t="n">
        <v>49</v>
      </c>
      <c r="AH91" s="5" t="n">
        <v>13</v>
      </c>
      <c r="AI91" s="5" t="n">
        <v>18</v>
      </c>
      <c r="AJ91" s="5" t="inlineStr"/>
      <c r="AK91" s="5" t="inlineStr"/>
      <c r="AL91" s="5" t="inlineStr"/>
      <c r="AM91" s="5" t="inlineStr"/>
      <c r="AN91" s="5" t="inlineStr"/>
      <c r="AO91" s="5" t="inlineStr"/>
      <c r="AP91" s="5" t="inlineStr"/>
      <c r="AQ91" s="5" t="inlineStr"/>
      <c r="AR91" s="5" t="inlineStr"/>
      <c r="AS91" s="5" t="inlineStr"/>
      <c r="AT91" s="5" t="inlineStr"/>
      <c r="AU91" s="5" t="n">
        <v>2008</v>
      </c>
      <c r="AV91" s="5" t="n">
        <v>12</v>
      </c>
      <c r="AW91" s="5" t="n">
        <v>4</v>
      </c>
      <c r="AX91" s="5" t="inlineStr"/>
      <c r="AY91" s="5" t="inlineStr"/>
      <c r="AZ91" s="5" t="inlineStr"/>
      <c r="BA91" s="5" t="inlineStr"/>
      <c r="BB91" s="5" t="n">
        <v>545</v>
      </c>
      <c r="BC91" s="5" t="inlineStr">
        <is>
          <t>+</t>
        </is>
      </c>
      <c r="BD91" s="5" t="inlineStr"/>
      <c r="BE91" s="5" t="inlineStr">
        <is>
          <t>10.1108/13612020810906182</t>
        </is>
      </c>
      <c r="BF91" s="5" t="n">
        <v>0</v>
      </c>
      <c r="BG91" s="5" t="inlineStr"/>
      <c r="BH91" s="5" t="inlineStr"/>
      <c r="BI91" s="5" t="inlineStr"/>
      <c r="BJ91" s="5" t="inlineStr"/>
      <c r="BK91" s="5" t="inlineStr"/>
      <c r="BL91" s="5" t="inlineStr"/>
      <c r="BM91" s="5" t="inlineStr"/>
      <c r="BN91" s="5" t="inlineStr"/>
      <c r="BO91" s="5" t="inlineStr"/>
      <c r="BP91" s="5" t="inlineStr"/>
      <c r="BQ91" s="5" t="inlineStr"/>
      <c r="BR91" s="5" t="inlineStr">
        <is>
          <t>2026-05-29</t>
        </is>
      </c>
      <c r="BS91" s="5" t="inlineStr">
        <is>
          <t>WOS:000212076200009</t>
        </is>
      </c>
      <c r="BT91" s="5" t="n">
        <v>0</v>
      </c>
      <c r="BU91">
        <f>COUNTIF('오픈소스&amp;직접수집'!F:F,'wos(corecollection)_260528'!BE91)</f>
        <v/>
      </c>
      <c r="BV91">
        <f>COUNTIF('오픈소스&amp;직접수집'!A:A,'wos(corecollection)_260528'!I91)</f>
        <v/>
      </c>
      <c r="BW91">
        <f>SUM(BU91:BV91)</f>
        <v/>
      </c>
    </row>
    <row r="92">
      <c r="A92" s="5" t="inlineStr">
        <is>
          <t>cyram 인용</t>
        </is>
      </c>
      <c r="B92" s="5" t="inlineStr">
        <is>
          <t>Burk, WJ; Steglich, CEG; Snijders, AB</t>
        </is>
      </c>
      <c r="C92" s="5" t="inlineStr"/>
      <c r="D92" s="5" t="inlineStr"/>
      <c r="E92" s="5" t="inlineStr"/>
      <c r="F92" s="5" t="inlineStr">
        <is>
          <t>Burk, William J.; Steglich, Christian E. G.; Snijders, A. B.</t>
        </is>
      </c>
      <c r="G92" s="5" t="inlineStr"/>
      <c r="H92" s="5" t="inlineStr"/>
      <c r="I92" s="5" t="inlineStr">
        <is>
          <t>Beyond dyadic interdependence: Actor-oriented models for co-evolving social networks and individual behaviors</t>
        </is>
      </c>
      <c r="J92" s="5" t="inlineStr">
        <is>
          <t>INTERNATIONAL JOURNAL OF BEHAVIORAL DEVELOPMENT</t>
        </is>
      </c>
      <c r="K92" s="5" t="inlineStr"/>
      <c r="L92" s="5" t="inlineStr"/>
      <c r="M92" s="5" t="inlineStr"/>
      <c r="N92" s="5" t="inlineStr">
        <is>
          <t>Article</t>
        </is>
      </c>
      <c r="O92" s="5" t="inlineStr"/>
      <c r="P92" s="5" t="inlineStr"/>
      <c r="Q92" s="5" t="inlineStr"/>
      <c r="R92" s="5" t="inlineStr"/>
      <c r="S92" s="5" t="inlineStr"/>
      <c r="T92" s="5" t="inlineStr"/>
      <c r="U92" s="5" t="inlineStr"/>
      <c r="V92" s="5" t="inlineStr">
        <is>
          <t>Actor-oriented models are described as a longitudinal strategy for examining the co-evolution of social networks and individual behaviors. We argue that these models provide advantages over conventional approaches due to their ability to account for inherent dependencies between individuals embedded in a social network (i.e., reciprocity, transitivity) and model interdependencies between network and behavioral dynamics. We provide a brief explanation of actor-oriented processes, followed by a description of parameter estimates, model specification, and selection procedures used by the Simulation Investigation for Empirical Network Analyses (SIENA) software program (Snijders, Steglich, Schweinberger, &amp; Huisman, 2006). To illustrate the applicability of these models, we provide an empirical example investigating the co-evolution of friendship networks and delinquent behaviors in a longitudinal sample of Swedish adolescents with the goal of simultaneously assessing selection and influence processes. Findings suggest both processes play a substantive role in the observed dynamics of delinquent behaviors, with influence having a relatively stronger role than selection (especially in reciprocated friendships).</t>
        </is>
      </c>
      <c r="W92" s="5" t="inlineStr">
        <is>
          <t>Univ Orebro, Ctr Res &amp; Dev, S-70182 Orebro, Sweden; Univ Groningen, NL-9700 AB Groningen, Netherlands; Univ Oxford, Oxford, England</t>
        </is>
      </c>
      <c r="X92" s="5" t="inlineStr"/>
      <c r="Y92" s="5" t="inlineStr">
        <is>
          <t>Burk, WJ (corresponding author), Univ Orebro, Ctr Res &amp; Dev, S-70182 Orebro, Sweden.</t>
        </is>
      </c>
      <c r="Z92" s="5" t="inlineStr">
        <is>
          <t>william.burk@bsr.oru.se</t>
        </is>
      </c>
      <c r="AA92" s="5" t="inlineStr"/>
      <c r="AB92" s="5" t="inlineStr"/>
      <c r="AC92" s="5" t="inlineStr"/>
      <c r="AD92" s="5" t="inlineStr"/>
      <c r="AE92" s="5" t="inlineStr"/>
      <c r="AF92" s="5" t="inlineStr"/>
      <c r="AG92" s="5" t="n">
        <v>55</v>
      </c>
      <c r="AH92" s="5" t="n">
        <v>195</v>
      </c>
      <c r="AI92" s="5" t="n">
        <v>242</v>
      </c>
      <c r="AJ92" s="5" t="inlineStr"/>
      <c r="AK92" s="5" t="inlineStr"/>
      <c r="AL92" s="5" t="inlineStr"/>
      <c r="AM92" s="5" t="inlineStr"/>
      <c r="AN92" s="5" t="inlineStr"/>
      <c r="AO92" s="5" t="inlineStr"/>
      <c r="AP92" s="5" t="inlineStr"/>
      <c r="AQ92" s="5" t="inlineStr"/>
      <c r="AR92" s="5" t="inlineStr"/>
      <c r="AS92" s="5" t="inlineStr"/>
      <c r="AT92" s="5" t="inlineStr">
        <is>
          <t>JUL</t>
        </is>
      </c>
      <c r="AU92" s="5" t="n">
        <v>2007</v>
      </c>
      <c r="AV92" s="5" t="n">
        <v>31</v>
      </c>
      <c r="AW92" s="5" t="n">
        <v>4</v>
      </c>
      <c r="AX92" s="5" t="inlineStr"/>
      <c r="AY92" s="5" t="inlineStr"/>
      <c r="AZ92" s="5" t="inlineStr"/>
      <c r="BA92" s="5" t="inlineStr"/>
      <c r="BB92" s="5" t="n">
        <v>397</v>
      </c>
      <c r="BC92" s="5" t="n">
        <v>404</v>
      </c>
      <c r="BD92" s="5" t="inlineStr"/>
      <c r="BE92" s="5" t="inlineStr">
        <is>
          <t>10.1177/0165025407077762</t>
        </is>
      </c>
      <c r="BF92" s="5" t="n">
        <v>0</v>
      </c>
      <c r="BG92" s="5" t="inlineStr"/>
      <c r="BH92" s="5" t="inlineStr"/>
      <c r="BI92" s="5" t="inlineStr"/>
      <c r="BJ92" s="5" t="inlineStr"/>
      <c r="BK92" s="5" t="inlineStr"/>
      <c r="BL92" s="5" t="inlineStr"/>
      <c r="BM92" s="5" t="inlineStr"/>
      <c r="BN92" s="5" t="inlineStr"/>
      <c r="BO92" s="5" t="inlineStr"/>
      <c r="BP92" s="5" t="inlineStr"/>
      <c r="BQ92" s="5" t="inlineStr"/>
      <c r="BR92" s="5" t="inlineStr">
        <is>
          <t>2026-05-29</t>
        </is>
      </c>
      <c r="BS92" s="5" t="inlineStr">
        <is>
          <t>WOS:000248948600011</t>
        </is>
      </c>
      <c r="BT92" s="5" t="n">
        <v>0</v>
      </c>
      <c r="BU92">
        <f>COUNTIF('오픈소스&amp;직접수집'!F:F,'wos(corecollection)_260528'!BE92)</f>
        <v/>
      </c>
      <c r="BV92">
        <f>COUNTIF('오픈소스&amp;직접수집'!A:A,'wos(corecollection)_260528'!I92)</f>
        <v/>
      </c>
      <c r="BW92">
        <f>SUM(BU92:BV92)</f>
        <v/>
      </c>
    </row>
    <row r="93">
      <c r="A93" s="5" t="inlineStr">
        <is>
          <t>cyram 인용</t>
        </is>
      </c>
      <c r="B93" s="5" t="inlineStr">
        <is>
          <t>Moody, J; McFarland, D; Bender-deMoll, S</t>
        </is>
      </c>
      <c r="C93" s="5" t="inlineStr"/>
      <c r="D93" s="5" t="inlineStr"/>
      <c r="E93" s="5" t="inlineStr"/>
      <c r="F93" s="5" t="inlineStr">
        <is>
          <t>Moody, J; McFarland, D; Bender-deMoll, S</t>
        </is>
      </c>
      <c r="G93" s="5" t="inlineStr"/>
      <c r="H93" s="5" t="inlineStr"/>
      <c r="I93" s="5" t="inlineStr">
        <is>
          <t>Dynamic network visualization</t>
        </is>
      </c>
      <c r="J93" s="5" t="inlineStr">
        <is>
          <t>AMERICAN JOURNAL OF SOCIOLOGY</t>
        </is>
      </c>
      <c r="K93" s="5" t="inlineStr"/>
      <c r="L93" s="5" t="inlineStr"/>
      <c r="M93" s="5" t="inlineStr"/>
      <c r="N93" s="5" t="inlineStr">
        <is>
          <t>Article</t>
        </is>
      </c>
      <c r="O93" s="5" t="inlineStr"/>
      <c r="P93" s="5" t="inlineStr"/>
      <c r="Q93" s="5" t="inlineStr"/>
      <c r="R93" s="5" t="inlineStr"/>
      <c r="S93" s="5" t="inlineStr"/>
      <c r="T93" s="5" t="inlineStr"/>
      <c r="U93" s="5" t="inlineStr"/>
      <c r="V93" s="5" t="inlineStr">
        <is>
          <t>Increased interest in longitudinal social networks and the recognition that visualization fosters theoretical insight create a need for dynamic network visualizations, or network movies. This article confronts theoretical questions surrounding the temporal representations of social networks and technical questions about how best to link network change to changes in the graphical representation. The authors divide network movies into ( 1) static flip books, where node position remains constant but edges cumulate over time, and ( 2) dynamic movies, where nodes move as a function of changes in relations. Flip books are particularly useful in contexts where relations are sparse. For more connected networks, movies are often more appropriate. Three empirical examples demonstrate the advantages of different movie styles. A new software program for creating network movies is discussed in the appendix.</t>
        </is>
      </c>
      <c r="W93" s="5" t="inlineStr">
        <is>
          <t>Ohio State Univ, Columbus, OH 43210 USA; Stanford Univ, Stanford, CA 94305 USA</t>
        </is>
      </c>
      <c r="X93" s="5" t="inlineStr"/>
      <c r="Y93" s="5" t="inlineStr">
        <is>
          <t>Moody, J (corresponding author), Ohio State Univ, 372 Bricker Hall,190 N Oval Mall, Columbus, OH 43210 USA.</t>
        </is>
      </c>
      <c r="Z93" s="5" t="inlineStr">
        <is>
          <t>Moody.77@sociology.osu.edu</t>
        </is>
      </c>
      <c r="AA93" s="5" t="inlineStr"/>
      <c r="AB93" s="5" t="inlineStr"/>
      <c r="AC93" s="5" t="inlineStr"/>
      <c r="AD93" s="5" t="inlineStr"/>
      <c r="AE93" s="5" t="inlineStr"/>
      <c r="AF93" s="5" t="inlineStr"/>
      <c r="AG93" s="5" t="n">
        <v>75</v>
      </c>
      <c r="AH93" s="5" t="n">
        <v>260</v>
      </c>
      <c r="AI93" s="5" t="n">
        <v>329</v>
      </c>
      <c r="AJ93" s="5" t="inlineStr"/>
      <c r="AK93" s="5" t="inlineStr"/>
      <c r="AL93" s="5" t="inlineStr"/>
      <c r="AM93" s="5" t="inlineStr"/>
      <c r="AN93" s="5" t="inlineStr"/>
      <c r="AO93" s="5" t="inlineStr"/>
      <c r="AP93" s="5" t="inlineStr"/>
      <c r="AQ93" s="5" t="inlineStr"/>
      <c r="AR93" s="5" t="inlineStr"/>
      <c r="AS93" s="5" t="inlineStr"/>
      <c r="AT93" s="5" t="inlineStr">
        <is>
          <t>JAN</t>
        </is>
      </c>
      <c r="AU93" s="5" t="n">
        <v>2005</v>
      </c>
      <c r="AV93" s="5" t="n">
        <v>110</v>
      </c>
      <c r="AW93" s="5" t="n">
        <v>4</v>
      </c>
      <c r="AX93" s="5" t="inlineStr"/>
      <c r="AY93" s="5" t="inlineStr"/>
      <c r="AZ93" s="5" t="inlineStr"/>
      <c r="BA93" s="5" t="inlineStr"/>
      <c r="BB93" s="5" t="n">
        <v>1206</v>
      </c>
      <c r="BC93" s="5" t="n">
        <v>1241</v>
      </c>
      <c r="BD93" s="5" t="inlineStr"/>
      <c r="BE93" s="5" t="inlineStr">
        <is>
          <t>10.1086/421509</t>
        </is>
      </c>
      <c r="BF93" s="5" t="n">
        <v>0</v>
      </c>
      <c r="BG93" s="5" t="inlineStr"/>
      <c r="BH93" s="5" t="inlineStr"/>
      <c r="BI93" s="5" t="inlineStr"/>
      <c r="BJ93" s="5" t="inlineStr"/>
      <c r="BK93" s="5" t="inlineStr"/>
      <c r="BL93" s="5" t="inlineStr"/>
      <c r="BM93" s="5" t="inlineStr"/>
      <c r="BN93" s="5" t="inlineStr"/>
      <c r="BO93" s="5" t="inlineStr"/>
      <c r="BP93" s="5" t="inlineStr"/>
      <c r="BQ93" s="5" t="inlineStr"/>
      <c r="BR93" s="5" t="inlineStr">
        <is>
          <t>2026-05-29</t>
        </is>
      </c>
      <c r="BS93" s="5" t="inlineStr">
        <is>
          <t>WOS:000229472000011</t>
        </is>
      </c>
      <c r="BT93" s="5" t="n">
        <v>0</v>
      </c>
      <c r="BU93">
        <f>COUNTIF('오픈소스&amp;직접수집'!F:F,'wos(corecollection)_260528'!BE93)</f>
        <v/>
      </c>
      <c r="BV93">
        <f>COUNTIF('오픈소스&amp;직접수집'!A:A,'wos(corecollection)_260528'!I93)</f>
        <v/>
      </c>
      <c r="BW93">
        <f>SUM(BU93:BV93)</f>
        <v/>
      </c>
    </row>
  </sheetData>
  <autoFilter ref="A1:BW93"/>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2026-04-30T08:15:03Z</dcterms:created>
  <dcterms:modified xmlns:dcterms="http://purl.org/dc/terms/" xmlns:xsi="http://www.w3.org/2001/XMLSchema-instance" xsi:type="dcterms:W3CDTF">2026-06-26T06:15:15Z</dcterms:modified>
  <cp:lastModifiedBy>배 수진</cp:lastModifiedBy>
</cp:coreProperties>
</file>