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soojin\03_marketing\input\"/>
    </mc:Choice>
  </mc:AlternateContent>
  <bookViews>
    <workbookView xWindow="28680" yWindow="-120" windowWidth="29040" windowHeight="16440"/>
  </bookViews>
  <sheets>
    <sheet name="오픈소스&amp;직접수집" sheetId="1" r:id="rId1"/>
    <sheet name="wos(corecollection)_260528" sheetId="2" r:id="rId2"/>
  </sheets>
  <definedNames>
    <definedName name="_xlnm._FilterDatabase" localSheetId="1" hidden="1">'wos(corecollection)_260528'!$A$1:$BW$93</definedName>
    <definedName name="_xlnm._FilterDatabase" localSheetId="0" hidden="1">'오픈소스&amp;직접수집'!$A$1:$F$675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89" i="2" l="1"/>
  <c r="BU86" i="2"/>
  <c r="BU85" i="2"/>
  <c r="BU84" i="2"/>
  <c r="BU80" i="2"/>
  <c r="BV3" i="2"/>
  <c r="BV4" i="2"/>
  <c r="BV5" i="2"/>
  <c r="BV6" i="2"/>
  <c r="BV7" i="2"/>
  <c r="BV8" i="2"/>
  <c r="BV9" i="2"/>
  <c r="BV10" i="2"/>
  <c r="BV11" i="2"/>
  <c r="BV12" i="2"/>
  <c r="BV13" i="2"/>
  <c r="BV14" i="2"/>
  <c r="BV15" i="2"/>
  <c r="BV16" i="2"/>
  <c r="BV17" i="2"/>
  <c r="BV18" i="2"/>
  <c r="BV19" i="2"/>
  <c r="BV20" i="2"/>
  <c r="BV21" i="2"/>
  <c r="BV22" i="2"/>
  <c r="BV23" i="2"/>
  <c r="BV24" i="2"/>
  <c r="BV25" i="2"/>
  <c r="BV26" i="2"/>
  <c r="BV27" i="2"/>
  <c r="BV28" i="2"/>
  <c r="BV29" i="2"/>
  <c r="BV30" i="2"/>
  <c r="BV31" i="2"/>
  <c r="BV32" i="2"/>
  <c r="BV33" i="2"/>
  <c r="BV34" i="2"/>
  <c r="BV35" i="2"/>
  <c r="BV36" i="2"/>
  <c r="BV37" i="2"/>
  <c r="BV38" i="2"/>
  <c r="BV39" i="2"/>
  <c r="BV40" i="2"/>
  <c r="BV41" i="2"/>
  <c r="BV42" i="2"/>
  <c r="BV43" i="2"/>
  <c r="BV44" i="2"/>
  <c r="BV45" i="2"/>
  <c r="BV46" i="2"/>
  <c r="BV47" i="2"/>
  <c r="BV48" i="2"/>
  <c r="BV49" i="2"/>
  <c r="BV50" i="2"/>
  <c r="BV51" i="2"/>
  <c r="BV52" i="2"/>
  <c r="BV53" i="2"/>
  <c r="BV54" i="2"/>
  <c r="BV55" i="2"/>
  <c r="BV56" i="2"/>
  <c r="BV57" i="2"/>
  <c r="BV58" i="2"/>
  <c r="BV59" i="2"/>
  <c r="BV60" i="2"/>
  <c r="BV61" i="2"/>
  <c r="BV62" i="2"/>
  <c r="BV63" i="2"/>
  <c r="BV64" i="2"/>
  <c r="BV65" i="2"/>
  <c r="BV66" i="2"/>
  <c r="BV67" i="2"/>
  <c r="BV68" i="2"/>
  <c r="BV69" i="2"/>
  <c r="BV70" i="2"/>
  <c r="BV71" i="2"/>
  <c r="BV72" i="2"/>
  <c r="BV73" i="2"/>
  <c r="BV74" i="2"/>
  <c r="BV75" i="2"/>
  <c r="BV76" i="2"/>
  <c r="BV77" i="2"/>
  <c r="BV78" i="2"/>
  <c r="BV79" i="2"/>
  <c r="BV80" i="2"/>
  <c r="BV81" i="2"/>
  <c r="BW81" i="2" s="1"/>
  <c r="BV82" i="2"/>
  <c r="BW82" i="2" s="1"/>
  <c r="BV83" i="2"/>
  <c r="BV84" i="2"/>
  <c r="BV85" i="2"/>
  <c r="BV86" i="2"/>
  <c r="BV87" i="2"/>
  <c r="BV88" i="2"/>
  <c r="BW88" i="2" s="1"/>
  <c r="BV89" i="2"/>
  <c r="BW89" i="2" s="1"/>
  <c r="BV90" i="2"/>
  <c r="BW90" i="2" s="1"/>
  <c r="BV91" i="2"/>
  <c r="BV92" i="2"/>
  <c r="BV93" i="2"/>
  <c r="BV2" i="2"/>
  <c r="BU3" i="2"/>
  <c r="BW3" i="2" s="1"/>
  <c r="BU4" i="2"/>
  <c r="BU5" i="2"/>
  <c r="BU6" i="2"/>
  <c r="BU7" i="2"/>
  <c r="BU8" i="2"/>
  <c r="BU9" i="2"/>
  <c r="BU10" i="2"/>
  <c r="BU11" i="2"/>
  <c r="BU12" i="2"/>
  <c r="BU13" i="2"/>
  <c r="BU14" i="2"/>
  <c r="BU15" i="2"/>
  <c r="BU16" i="2"/>
  <c r="BU17" i="2"/>
  <c r="BU18" i="2"/>
  <c r="BW18" i="2" s="1"/>
  <c r="BU19" i="2"/>
  <c r="BU20" i="2"/>
  <c r="BU21" i="2"/>
  <c r="BU22" i="2"/>
  <c r="BU23" i="2"/>
  <c r="BW23" i="2" s="1"/>
  <c r="BU24" i="2"/>
  <c r="BU25" i="2"/>
  <c r="BW25" i="2" s="1"/>
  <c r="BU26" i="2"/>
  <c r="BU27" i="2"/>
  <c r="BU28" i="2"/>
  <c r="BU29" i="2"/>
  <c r="BU30" i="2"/>
  <c r="BU31" i="2"/>
  <c r="BU32" i="2"/>
  <c r="BU33" i="2"/>
  <c r="BU34" i="2"/>
  <c r="BU35" i="2"/>
  <c r="BU36" i="2"/>
  <c r="BU37" i="2"/>
  <c r="BU38" i="2"/>
  <c r="BW38" i="2" s="1"/>
  <c r="BU39" i="2"/>
  <c r="BW39" i="2" s="1"/>
  <c r="BU40" i="2"/>
  <c r="BW40" i="2" s="1"/>
  <c r="BU41" i="2"/>
  <c r="BU42" i="2"/>
  <c r="BU43" i="2"/>
  <c r="BU44" i="2"/>
  <c r="BU45" i="2"/>
  <c r="BU46" i="2"/>
  <c r="BU47" i="2"/>
  <c r="BU48" i="2"/>
  <c r="BU49" i="2"/>
  <c r="BU50" i="2"/>
  <c r="BU51" i="2"/>
  <c r="BU52" i="2"/>
  <c r="BU53" i="2"/>
  <c r="BU54" i="2"/>
  <c r="BU55" i="2"/>
  <c r="BU56" i="2"/>
  <c r="BU57" i="2"/>
  <c r="BU58" i="2"/>
  <c r="BW58" i="2" s="1"/>
  <c r="BU59" i="2"/>
  <c r="BW59" i="2" s="1"/>
  <c r="BU60" i="2"/>
  <c r="BW60" i="2" s="1"/>
  <c r="BU61" i="2"/>
  <c r="BU62" i="2"/>
  <c r="BU63" i="2"/>
  <c r="BW63" i="2" s="1"/>
  <c r="BU64" i="2"/>
  <c r="BU65" i="2"/>
  <c r="BU66" i="2"/>
  <c r="BU67" i="2"/>
  <c r="BU68" i="2"/>
  <c r="BU69" i="2"/>
  <c r="BU70" i="2"/>
  <c r="BU71" i="2"/>
  <c r="BU72" i="2"/>
  <c r="BU73" i="2"/>
  <c r="BU74" i="2"/>
  <c r="BU75" i="2"/>
  <c r="BU76" i="2"/>
  <c r="BU77" i="2"/>
  <c r="BU78" i="2"/>
  <c r="BW78" i="2" s="1"/>
  <c r="BU79" i="2"/>
  <c r="BU83" i="2"/>
  <c r="BW83" i="2" s="1"/>
  <c r="BW85" i="2"/>
  <c r="BU87" i="2"/>
  <c r="BU91" i="2"/>
  <c r="BU92" i="2"/>
  <c r="BU93" i="2"/>
  <c r="BU2" i="2"/>
  <c r="BT40" i="2"/>
  <c r="BF40" i="2"/>
  <c r="BT39" i="2"/>
  <c r="BF39" i="2"/>
  <c r="BT38" i="2"/>
  <c r="BF38" i="2"/>
  <c r="BT37" i="2"/>
  <c r="BF37" i="2"/>
  <c r="BT36" i="2"/>
  <c r="BF36" i="2"/>
  <c r="BT35" i="2"/>
  <c r="BF35" i="2"/>
  <c r="BT34" i="2"/>
  <c r="BF34" i="2"/>
  <c r="BT33" i="2"/>
  <c r="BF33" i="2"/>
  <c r="BT32" i="2"/>
  <c r="BF32" i="2"/>
  <c r="BT31" i="2"/>
  <c r="BF31" i="2"/>
  <c r="BT30" i="2"/>
  <c r="BF30" i="2"/>
  <c r="BT29" i="2"/>
  <c r="BF29" i="2"/>
  <c r="BT28" i="2"/>
  <c r="BF28" i="2"/>
  <c r="BT27" i="2"/>
  <c r="BF27" i="2"/>
  <c r="BT26" i="2"/>
  <c r="BF26" i="2"/>
  <c r="BT25" i="2"/>
  <c r="BF25" i="2"/>
  <c r="BT24" i="2"/>
  <c r="BF24" i="2"/>
  <c r="BT23" i="2"/>
  <c r="BF23" i="2"/>
  <c r="BT22" i="2"/>
  <c r="BF22" i="2"/>
  <c r="BT21" i="2"/>
  <c r="BF21" i="2"/>
  <c r="BT20" i="2"/>
  <c r="BF20" i="2"/>
  <c r="BT19" i="2"/>
  <c r="BF19" i="2"/>
  <c r="BT18" i="2"/>
  <c r="BF18" i="2"/>
  <c r="BT17" i="2"/>
  <c r="BF17" i="2"/>
  <c r="BT16" i="2"/>
  <c r="BF16" i="2"/>
  <c r="BT15" i="2"/>
  <c r="BF15" i="2"/>
  <c r="BT14" i="2"/>
  <c r="BF14" i="2"/>
  <c r="BT13" i="2"/>
  <c r="BF13" i="2"/>
  <c r="BT12" i="2"/>
  <c r="BF12" i="2"/>
  <c r="BT11" i="2"/>
  <c r="BF11" i="2"/>
  <c r="BT10" i="2"/>
  <c r="BF10" i="2"/>
  <c r="BT9" i="2"/>
  <c r="BF9" i="2"/>
  <c r="BT8" i="2"/>
  <c r="BF8" i="2"/>
  <c r="BT7" i="2"/>
  <c r="BF7" i="2"/>
  <c r="BT6" i="2"/>
  <c r="BF6" i="2"/>
  <c r="BT5" i="2"/>
  <c r="BF5" i="2"/>
  <c r="BT4" i="2"/>
  <c r="BF4" i="2"/>
  <c r="BT3" i="2"/>
  <c r="BF3" i="2"/>
  <c r="BT2" i="2"/>
  <c r="BF2" i="2"/>
  <c r="BW20" i="2" l="1"/>
  <c r="BW45" i="2"/>
  <c r="BW79" i="2"/>
  <c r="BW43" i="2"/>
  <c r="BW19" i="2"/>
  <c r="BW65" i="2"/>
  <c r="BW5" i="2"/>
  <c r="BW28" i="2"/>
  <c r="BW91" i="2"/>
  <c r="BW92" i="2"/>
  <c r="BW17" i="2"/>
  <c r="BW16" i="2"/>
  <c r="BW15" i="2"/>
  <c r="BW34" i="2"/>
  <c r="BW53" i="2"/>
  <c r="BW33" i="2"/>
  <c r="BW13" i="2"/>
  <c r="BW56" i="2"/>
  <c r="BW32" i="2"/>
  <c r="BW12" i="2"/>
  <c r="BW76" i="2"/>
  <c r="BW74" i="2"/>
  <c r="BW71" i="2"/>
  <c r="BW11" i="2"/>
  <c r="BW35" i="2"/>
  <c r="BW54" i="2"/>
  <c r="BW73" i="2"/>
  <c r="BW70" i="2"/>
  <c r="BW10" i="2"/>
  <c r="BW57" i="2"/>
  <c r="BW55" i="2"/>
  <c r="BW14" i="2"/>
  <c r="BW72" i="2"/>
  <c r="BW51" i="2"/>
  <c r="BW30" i="2"/>
  <c r="BW37" i="2"/>
  <c r="BW75" i="2"/>
  <c r="BW52" i="2"/>
  <c r="BW31" i="2"/>
  <c r="BW50" i="2"/>
  <c r="BW68" i="2"/>
  <c r="BW48" i="2"/>
  <c r="BW77" i="2"/>
  <c r="BW36" i="2"/>
  <c r="BW2" i="2"/>
  <c r="BW29" i="2"/>
  <c r="BW8" i="2"/>
  <c r="BW9" i="2"/>
  <c r="BW93" i="2"/>
  <c r="BW67" i="2"/>
  <c r="BW47" i="2"/>
  <c r="BW27" i="2"/>
  <c r="BW7" i="2"/>
  <c r="BW49" i="2"/>
  <c r="BW66" i="2"/>
  <c r="BW46" i="2"/>
  <c r="BW26" i="2"/>
  <c r="BW6" i="2"/>
  <c r="BW44" i="2"/>
  <c r="BW24" i="2"/>
  <c r="BW4" i="2"/>
  <c r="BW80" i="2"/>
  <c r="BW69" i="2"/>
  <c r="BW62" i="2"/>
  <c r="BW22" i="2"/>
  <c r="BW87" i="2"/>
  <c r="BW21" i="2"/>
  <c r="BW61" i="2"/>
  <c r="BW84" i="2"/>
  <c r="BW64" i="2"/>
  <c r="BW42" i="2"/>
  <c r="BW41" i="2"/>
  <c r="BW86" i="2"/>
</calcChain>
</file>

<file path=xl/sharedStrings.xml><?xml version="1.0" encoding="utf-8"?>
<sst xmlns="http://schemas.openxmlformats.org/spreadsheetml/2006/main" count="8659" uniqueCount="2836">
  <si>
    <t>title</t>
  </si>
  <si>
    <t>authors</t>
  </si>
  <si>
    <t>journal</t>
  </si>
  <si>
    <t>publisher</t>
  </si>
  <si>
    <t>year</t>
  </si>
  <si>
    <t>doi</t>
  </si>
  <si>
    <t>Research Trend Analysis of Community-based</t>
  </si>
  <si>
    <t>Network Analysis</t>
  </si>
  <si>
    <t>Journal of the</t>
  </si>
  <si>
    <t>PNG Publications</t>
  </si>
  <si>
    <t>2024</t>
  </si>
  <si>
    <t>10.5993/AJHB.48.3.2</t>
  </si>
  <si>
    <t>Kijeon College, Jeonju, South Korea</t>
  </si>
  <si>
    <t>and Behavior published by Wiley Periodicals LLC</t>
  </si>
  <si>
    <t>Wiley</t>
  </si>
  <si>
    <t>2021</t>
  </si>
  <si>
    <t>10.1002/brb3.2392</t>
  </si>
  <si>
    <t>Hyeoun‐Ae Park; Joo Yun Lee; Jeongah On; Ji Hyun Lee; Hyesil Jung; Seul Ki Park</t>
  </si>
  <si>
    <t>journal of the Korean Society of Medical Informatics</t>
  </si>
  <si>
    <t>the Korean Society of</t>
  </si>
  <si>
    <t>2016</t>
  </si>
  <si>
    <t>10.4258/hir.2017.23.2.77</t>
  </si>
  <si>
    <t>2018 귀농⋅귀촌박람회의 온라인 뉴스와 SNS 토픽 연구 ┃ 하지영⋅이승현⋅김덕현</t>
  </si>
  <si>
    <t>2018</t>
  </si>
  <si>
    <t>2020</t>
  </si>
  <si>
    <t>PLOS</t>
  </si>
  <si>
    <t>e0322956</t>
  </si>
  <si>
    <t>10.1371/journal.pone.0322956</t>
  </si>
  <si>
    <t>Byoung‐Jin Jeon; Han-Gul Park Park; Jin-Seok Oh</t>
  </si>
  <si>
    <t>Korean Journal of Occupational Therapy</t>
  </si>
  <si>
    <t>대한작업치료학회</t>
  </si>
  <si>
    <t>Journal of Multidisciplinary Healthcare 2022:15 1493–1510</t>
  </si>
  <si>
    <t>2017</t>
  </si>
  <si>
    <t>국문초록</t>
  </si>
  <si>
    <t>10.14519/kjot.2021.29.2.06</t>
  </si>
  <si>
    <t>Wenyu Lu; Se-Eun Jhang</t>
  </si>
  <si>
    <t>Journal of Linguistic Science 83‖Dec</t>
  </si>
  <si>
    <t>10.21296/jls.2017.12.83.89</t>
  </si>
  <si>
    <t>Byeongki Jeong; Janghyeok Yoon; Jae-Min Lee</t>
  </si>
  <si>
    <t>Journal of Information Management</t>
  </si>
  <si>
    <t>elsevier</t>
  </si>
  <si>
    <t>Wanhyun Cho and In Seop Na</t>
  </si>
  <si>
    <t>Agriculture</t>
  </si>
  <si>
    <t>MDPI</t>
  </si>
  <si>
    <t>2023</t>
  </si>
  <si>
    <t>Future Generation Computer Systems</t>
  </si>
  <si>
    <t>Systems
journal homepage: www</t>
  </si>
  <si>
    <t>Analysis of International Journal of Clinical Preventive</t>
  </si>
  <si>
    <t>Original Article</t>
  </si>
  <si>
    <t>Int J Clin Prev Dent 2018;14(3):184-189ㆍhttps://doi</t>
  </si>
  <si>
    <t>10.15236/ijcpd.2018.14.3.184</t>
  </si>
  <si>
    <t>Original Research</t>
  </si>
  <si>
    <t>Journal of Nursing Research</t>
  </si>
  <si>
    <t>sage</t>
  </si>
  <si>
    <t>10.1177/0193945918781310</t>
  </si>
  <si>
    <t>Bomi Kang; L. Taylor Damonte; Young‐Jae Kim; Eun-Joo Cha</t>
  </si>
  <si>
    <t>Journal of Global Scholars of Marketing Science</t>
  </si>
  <si>
    <t>Taylor &amp; Francis</t>
  </si>
  <si>
    <t>10.1080/21639159.2018.1511379</t>
  </si>
  <si>
    <t>Smartphones are indispensable in modern society because</t>
  </si>
  <si>
    <t>Eun Jee Lee</t>
  </si>
  <si>
    <t>sedentary behavior</t>
  </si>
  <si>
    <t>Korean Academy of Child Health Nursing</t>
  </si>
  <si>
    <t>10.4094/chnr.2023.29.2.128</t>
  </si>
  <si>
    <t>뉴스 빅데이터를 활용한 코로나19 언론보도 분석</t>
  </si>
  <si>
    <t>김태종</t>
  </si>
  <si>
    <t>the research</t>
  </si>
  <si>
    <t>Korea Contents Associaition</t>
  </si>
  <si>
    <t>10.5392/JKCA.2020.20.05.457</t>
  </si>
  <si>
    <t>10.4040/jkan.22002</t>
  </si>
  <si>
    <t>J Syst Sci Syst Eng (Oct 2017) 26(5): 646-664</t>
  </si>
  <si>
    <t>Abstract</t>
  </si>
  <si>
    <t>of research</t>
  </si>
  <si>
    <t>plos</t>
  </si>
  <si>
    <t>10.1007/s11518-017-5329-5</t>
  </si>
  <si>
    <t>ICRA 2017 논문을 통한 로봇 분야 연구동향 분석</t>
  </si>
  <si>
    <t>Janghyeok Yoon; Wonchul Seo; Byoung‐Youl Coh; Inseok Song; Jae-Min Lee</t>
  </si>
  <si>
    <t>of Science and Technology Information</t>
  </si>
  <si>
    <t>Elsevier</t>
  </si>
  <si>
    <t>10.1016/j.cie.2016.04.009</t>
  </si>
  <si>
    <t>Yoo, Keedong</t>
  </si>
  <si>
    <t>this research’s networked knowledge map</t>
  </si>
  <si>
    <t>Literature Review of Extended Reality Research in Consumer</t>
  </si>
  <si>
    <t>Modeling</t>
  </si>
  <si>
    <t>10.53728/2765-6500.1627</t>
  </si>
  <si>
    <t>10.1371/journal.pone.0196104</t>
  </si>
  <si>
    <t>International  Journal  of</t>
  </si>
  <si>
    <t>Environmental Research</t>
  </si>
  <si>
    <t>mdpi</t>
  </si>
  <si>
    <t>10.3390/ijerph15061113</t>
  </si>
  <si>
    <t>10.5388/aon.2018.18.3.154</t>
  </si>
  <si>
    <t>국내 상담 수퍼비전 연구 동향: 키워드 네트워크 분석*</t>
  </si>
  <si>
    <t>Korean Journal of Counseling and Psychotherapy</t>
  </si>
  <si>
    <t>한국심리학회</t>
  </si>
  <si>
    <t>네트워크 분석을 통한 국내 사회혁신 프로젝트 동향 분석</t>
  </si>
  <si>
    <t>Journal of Multimedia Services Convergent with Art</t>
  </si>
  <si>
    <t>박근영</t>
  </si>
  <si>
    <t>Korean Journal of Cultural Sociology Vol</t>
  </si>
  <si>
    <t>Journal of the Korean Data Analysis Society (April 2022)</t>
  </si>
  <si>
    <t>Korean Data Analysis Society</t>
  </si>
  <si>
    <t>2022</t>
  </si>
  <si>
    <t>10.37727/jkdas.2022.24.2.683</t>
  </si>
  <si>
    <t>Korean Journal of Educational Administration</t>
  </si>
  <si>
    <t>Eun Hye Lee; Seung-yeon Lee; Jiyea Han; Hyeongjeong Jin; Moonyoung Eom</t>
  </si>
  <si>
    <t>10.22553/keas.2021.39.2.1</t>
  </si>
  <si>
    <t>마약류 연구와 청소년 마약류 연구의 실태와 동향 비교 분석:</t>
  </si>
  <si>
    <t>Hansol Park; Min Joung Kim</t>
  </si>
  <si>
    <t>10.17854/ffyc.2025.07.83.207</t>
  </si>
  <si>
    <t>사회연결망분석을 통한 샐러드 구매자 유형 및 구매행태 분석</t>
  </si>
  <si>
    <t>Ji Young Ha; Se Hwa Lim</t>
  </si>
  <si>
    <t>Journal of the Korean society for quality management</t>
  </si>
  <si>
    <t>10.7469/JKSQM.2022.50.2.287</t>
  </si>
  <si>
    <t>Journal of Korean Practical Arts Education (JKPAE)</t>
  </si>
  <si>
    <t>Korean Home Economics Association</t>
  </si>
  <si>
    <t>10.6115/fer.2018.043</t>
  </si>
  <si>
    <t>Eun Soo Park; Ji Eun Kim</t>
  </si>
  <si>
    <t>KOREA SCIENCE &amp; ART FORUM</t>
  </si>
  <si>
    <t>Institute of Science Culture Exhibition and Design</t>
  </si>
  <si>
    <t>10.17548/ksaf.2018.06.30.133</t>
  </si>
  <si>
    <t>Hwee-Soo Jeong; Gilwon Kang; Woong Choi; Jong-Hyock Park; Kwangsoo Shin; Young-Sung Suh</t>
  </si>
  <si>
    <t>Journal of Health Informatics and Statistics</t>
  </si>
  <si>
    <t>10.21032/jhis.2018.43.4.329</t>
  </si>
  <si>
    <t>10.21032/jhis.2018.43.4.274</t>
  </si>
  <si>
    <t>박은준</t>
  </si>
  <si>
    <t>Korean Academy of Community Health Nursing</t>
  </si>
  <si>
    <t>10.12799/jkachn.2018.29.2.244</t>
  </si>
  <si>
    <t>연구</t>
  </si>
  <si>
    <t>2019</t>
  </si>
  <si>
    <t>Chang Hoon Yang and Na Hyun Cho</t>
  </si>
  <si>
    <t>between research and development (R&amp;D)</t>
  </si>
  <si>
    <t>Emerald Publishing Limited</t>
  </si>
  <si>
    <t>10.1108/FS-10-2021-0201</t>
  </si>
  <si>
    <t>A Network Analysis of Cluster-based Government R&amp;D</t>
  </si>
  <si>
    <t>Chang Hoon Yang; Hyung Jung Yoo; Na Hyun Cho</t>
  </si>
  <si>
    <t>based research and development (R&amp;D) network in</t>
  </si>
  <si>
    <t>10.24020/kjlpe.2022.18.2.119</t>
  </si>
  <si>
    <t>Journal of Region &amp; Culture</t>
  </si>
  <si>
    <t>10.26654/iagc.2018.5.4.001</t>
  </si>
  <si>
    <t>텍스트 네트워크 분석을 활용한 과학영재교육 언론동향 분석</t>
  </si>
  <si>
    <t>Journal of Gifted/Talented Education  27(3)</t>
  </si>
  <si>
    <t>텍스트 분석 기법을 활용한 DMZ 연구 동향 분석</t>
  </si>
  <si>
    <t>Journal of The Korean Association of Regional Geographers 24(3)</t>
  </si>
  <si>
    <t>Eun‐Jun Park; Youngji Kim; Chan Sook Park</t>
  </si>
  <si>
    <t>10.4040/jkan.2017.47.5.600</t>
  </si>
  <si>
    <t>해양관광 방문지 네트워크의 구조적 특성 분석</t>
  </si>
  <si>
    <t>Journal of Marine Tourism Research</t>
  </si>
  <si>
    <t>10.22929/jmtr.2022.15.2.002</t>
  </si>
  <si>
    <t>하지영</t>
    <phoneticPr fontId="1" type="noConversion"/>
  </si>
  <si>
    <t>네트워크 분석 방법론을 활용한 지역R&amp;D 투자현황 분석, 어떻게 투자해야 할 것인가? : 대구경북을 중심으로</t>
    <phoneticPr fontId="1" type="noConversion"/>
  </si>
  <si>
    <t>조나현, 유형정, 양창훈</t>
    <phoneticPr fontId="1" type="noConversion"/>
  </si>
  <si>
    <t>Analyzing Community Care Research Trends Using Text Mining</t>
  </si>
  <si>
    <t>Yoonseo Park, Sewon Park, Munjea Lee</t>
    <phoneticPr fontId="1" type="noConversion"/>
  </si>
  <si>
    <t>Machine Learning and Data Min
ing</t>
    <phoneticPr fontId="1" type="noConversion"/>
  </si>
  <si>
    <t>A Method of Biomedical Knowledge Discovery by Literature Mining Based on SPO Predications: A Case Study of Induced Pluripotent Stem Cells</t>
    <phoneticPr fontId="1" type="noConversion"/>
  </si>
  <si>
    <t>Zheng-Yin Hu</t>
    <phoneticPr fontId="1" type="noConversion"/>
  </si>
  <si>
    <t>10.1007/978-3-319-96133-0_29</t>
    <phoneticPr fontId="1" type="noConversion"/>
  </si>
  <si>
    <r>
      <t>R&amp;D 기획 기반 조성을 위한 로봇분야 기술</t>
    </r>
    <r>
      <rPr>
        <sz val="11"/>
        <color theme="1"/>
        <rFont val="Noto Sans KR"/>
        <family val="2"/>
        <charset val="1"/>
      </rPr>
      <t>‧</t>
    </r>
    <r>
      <rPr>
        <sz val="11"/>
        <color theme="1"/>
        <rFont val="Noto Sans KR"/>
        <family val="2"/>
        <charset val="129"/>
      </rPr>
      <t>시장‧정책</t>
    </r>
    <r>
      <rPr>
        <sz val="11"/>
        <color theme="1"/>
        <rFont val="맑은 고딕"/>
        <family val="2"/>
        <scheme val="minor"/>
      </rPr>
      <t xml:space="preserve"> 동향 분석</t>
    </r>
    <phoneticPr fontId="1" type="noConversion"/>
  </si>
  <si>
    <t>기술정책연구실</t>
    <phoneticPr fontId="1" type="noConversion"/>
  </si>
  <si>
    <t>이석, 공경철, 정병규</t>
    <phoneticPr fontId="1" type="noConversion"/>
  </si>
  <si>
    <t>IT R&amp;D Outcomes and Technology Knowledge Flows in Korea</t>
    <phoneticPr fontId="1" type="noConversion"/>
  </si>
  <si>
    <t>정우진, 이상용</t>
    <phoneticPr fontId="1" type="noConversion"/>
  </si>
  <si>
    <t>IEEE Technology and Engineering Management Conference</t>
    <phoneticPr fontId="1" type="noConversion"/>
  </si>
  <si>
    <t>서경희, 이보람, 김경민</t>
    <phoneticPr fontId="1" type="noConversion"/>
  </si>
  <si>
    <t>대한국토토시계획학회</t>
    <phoneticPr fontId="1" type="noConversion"/>
  </si>
  <si>
    <t>10.17208/jkpa.2021.02.56.1.52</t>
    <phoneticPr fontId="1" type="noConversion"/>
  </si>
  <si>
    <t>한국 문화사회학 연구의 구조와 흐름: 2006-2015 문화와 사회 게재 논문들의 저자 분석과 키워드 네트워크 분석을 중심으로*</t>
    <phoneticPr fontId="1" type="noConversion"/>
  </si>
  <si>
    <t>사회네트워크 분석법을 활용한 중등교사들의 융합 및 융합교육에 대한 인식 탐색</t>
    <phoneticPr fontId="1" type="noConversion"/>
  </si>
  <si>
    <t>신세인,이준기</t>
    <phoneticPr fontId="1" type="noConversion"/>
  </si>
  <si>
    <t>융합교육연구</t>
    <phoneticPr fontId="1" type="noConversion"/>
  </si>
  <si>
    <t>사회연결망 분석을 활용한 고용가능성 연구동향 분석  국내학술지를 중심으로</t>
    <phoneticPr fontId="1" type="noConversion"/>
  </si>
  <si>
    <t>성세실리아, 정홍인</t>
    <phoneticPr fontId="1" type="noConversion"/>
  </si>
  <si>
    <t>직업과 자격 연구</t>
    <phoneticPr fontId="1" type="noConversion"/>
  </si>
  <si>
    <t>10.35125/jsq.2020.9.4.021</t>
    <phoneticPr fontId="1" type="noConversion"/>
  </si>
  <si>
    <t>2019 서울시 연희단 육성지원 사업</t>
    <phoneticPr fontId="1" type="noConversion"/>
  </si>
  <si>
    <t>연희 종합지원체계 구축 기본 연구보고서</t>
    <phoneticPr fontId="1" type="noConversion"/>
  </si>
  <si>
    <t>2016년 상반기 IP TREND MAP 분석보고서</t>
    <phoneticPr fontId="1" type="noConversion"/>
  </si>
  <si>
    <t>한국지식재산연구원 정책연구팀</t>
    <phoneticPr fontId="1" type="noConversion"/>
  </si>
  <si>
    <t>키워드 네트워크 분석을 통한 원자력 관련 사회과학 연구경향 분석</t>
    <phoneticPr fontId="1" type="noConversion"/>
  </si>
  <si>
    <t>김영준, 왕영민</t>
    <phoneticPr fontId="1" type="noConversion"/>
  </si>
  <si>
    <t>기술혁신학회지</t>
    <phoneticPr fontId="1" type="noConversion"/>
  </si>
  <si>
    <t>한국기술혁신학회</t>
    <phoneticPr fontId="1" type="noConversion"/>
  </si>
  <si>
    <t>박주령</t>
    <phoneticPr fontId="1" type="noConversion"/>
  </si>
  <si>
    <t>텍스트 네트워크 분석을 활용한 해상테러의 연구동향 및 시사점</t>
    <phoneticPr fontId="1" type="noConversion"/>
  </si>
  <si>
    <t>윤병훈, 공태명</t>
    <phoneticPr fontId="1" type="noConversion"/>
  </si>
  <si>
    <t>박경진, 류춘렬, 최진수, 김희목</t>
    <phoneticPr fontId="1" type="noConversion"/>
  </si>
  <si>
    <t>한국영재학회</t>
    <phoneticPr fontId="1" type="noConversion"/>
  </si>
  <si>
    <t>텍스트_네트워크분석을_활용한_국방분야_연구논문_지식구조_분석</t>
    <phoneticPr fontId="1" type="noConversion"/>
  </si>
  <si>
    <t>한국컴퓨터정보학회</t>
    <phoneticPr fontId="1" type="noConversion"/>
  </si>
  <si>
    <t>이용규, 윤성웅, 이상훈</t>
    <phoneticPr fontId="1" type="noConversion"/>
  </si>
  <si>
    <t>박선일, 배선학</t>
    <phoneticPr fontId="1" type="noConversion"/>
  </si>
  <si>
    <t>10.26863/JKARG.2018.08.24.3.406</t>
    <phoneticPr fontId="1" type="noConversion"/>
  </si>
  <si>
    <t>Correlational study between online friendship network and internet game disorder among university students</t>
    <phoneticPr fontId="1" type="noConversion"/>
  </si>
  <si>
    <t>10.3390/agriculture13091707</t>
    <phoneticPr fontId="1" type="noConversion"/>
  </si>
  <si>
    <t>Influence Relationship between Online News Articles and the Consumer Selling Price of Agricultural Products—Focusing on Onions</t>
    <phoneticPr fontId="1" type="noConversion"/>
  </si>
  <si>
    <t>농촌태양광 이슈에 대한 소셜미디어 게시글과 이용자 댓글 분석</t>
    <phoneticPr fontId="1" type="noConversion"/>
  </si>
  <si>
    <t>키워드 네트워크 분석을 활용한 작업치료 분야 연구동향 분석_ 대한작업치료학회지 키워드를 중심으로</t>
    <phoneticPr fontId="1" type="noConversion"/>
  </si>
  <si>
    <t>리더십 이론의 다양성에 대한 비판적 검토 사회과학 및 교육학 분야를 대상으로</t>
    <phoneticPr fontId="1" type="noConversion"/>
  </si>
  <si>
    <t>10.14519/kjot.2022.30.4.04</t>
    <phoneticPr fontId="1" type="noConversion"/>
  </si>
  <si>
    <t>A Comparative Study of the 24-Hour Occupational Network of Younger and Older Elderly Using Social Network Analysis</t>
    <phoneticPr fontId="1" type="noConversion"/>
  </si>
  <si>
    <t>10.1016/j.future.2017.10.019</t>
    <phoneticPr fontId="1" type="noConversion"/>
  </si>
  <si>
    <t>An analysis of security systems for electronic information for establishing secure internet of things environments: Focusing on research trends in the security field in South Korea</t>
    <phoneticPr fontId="1" type="noConversion"/>
  </si>
  <si>
    <t>Analysis of Research on Nurses’ Job Stress Using Network Analysis</t>
    <phoneticPr fontId="1" type="noConversion"/>
  </si>
  <si>
    <t>Assessing destination image via social network analysis the case of the Coastal Uncorked Wine and Food Festival</t>
    <phoneticPr fontId="1" type="noConversion"/>
  </si>
  <si>
    <t>10.13088/jiis.2018.24.3.119</t>
    <phoneticPr fontId="1" type="noConversion"/>
  </si>
  <si>
    <t>Keyword-based networked knowledge map expressing content relevance between knowledge</t>
    <phoneticPr fontId="1" type="noConversion"/>
  </si>
  <si>
    <t>Research Trend Visualization by MeSH Terms from PubMed</t>
    <phoneticPr fontId="1" type="noConversion"/>
  </si>
  <si>
    <t>암 진단 고지 관련 국내외 연구주제의 텍스트 네트워크 분석</t>
    <phoneticPr fontId="1" type="noConversion"/>
  </si>
  <si>
    <t>윤진희</t>
    <phoneticPr fontId="1" type="noConversion"/>
  </si>
  <si>
    <t>Korean Oncology Nursing Society</t>
  </si>
  <si>
    <t>Korean Oncology Nursing Society</t>
    <phoneticPr fontId="1" type="noConversion"/>
  </si>
  <si>
    <t>10.21742/AJMAHS.2018.09.65</t>
    <phoneticPr fontId="1" type="noConversion"/>
  </si>
  <si>
    <t>네트워크 분석을 통한 국내 창의 연구동향 분석</t>
    <phoneticPr fontId="1" type="noConversion"/>
  </si>
  <si>
    <t>권정언, 임정연</t>
    <phoneticPr fontId="1" type="noConversion"/>
  </si>
  <si>
    <t>소셜 네트워크 분석(SNA)을 이용한 실과(기술·가정)교육 분야 연구 동향 분석</t>
    <phoneticPr fontId="1" type="noConversion"/>
  </si>
  <si>
    <t>김은정, 이윤정, 김지선</t>
    <phoneticPr fontId="1" type="noConversion"/>
  </si>
  <si>
    <t>소셜네트워크 분석 방법론을 활용한 1인 주거 공간 디자인</t>
    <phoneticPr fontId="1" type="noConversion"/>
  </si>
  <si>
    <t>아토바스타틴의 새로운 약물 적응증 탐색을 위한 비정형 데이터 분석</t>
    <phoneticPr fontId="1" type="noConversion"/>
  </si>
  <si>
    <t>역대 정권별 보건복지부 장관의 취임사를 통한 보건행정 및 정책 비교분석</t>
    <phoneticPr fontId="1" type="noConversion"/>
  </si>
  <si>
    <t>김유호</t>
    <phoneticPr fontId="1" type="noConversion"/>
  </si>
  <si>
    <t>Text Network Analysis of Newspaper Articles on Life-sustaining Treatments</t>
    <phoneticPr fontId="1" type="noConversion"/>
  </si>
  <si>
    <t>Journal of Korean Academy of Community Health Nursing</t>
    <phoneticPr fontId="1" type="noConversion"/>
  </si>
  <si>
    <t>복합문화공간에 대한 시민의 기대와 성과 인식 분석 : 국립아시아문화전당을 중심으로</t>
    <phoneticPr fontId="1" type="noConversion"/>
  </si>
  <si>
    <t>강신겸, 김소연, 정성문</t>
    <phoneticPr fontId="1" type="noConversion"/>
  </si>
  <si>
    <t>A Corpus-Based Analysis of the Near-Synonyms Safety and Security in Maritime English</t>
    <phoneticPr fontId="1" type="noConversion"/>
  </si>
  <si>
    <t>A Comparison of Hospice Care Research Topics between Korea and Other Countries Using Text Network Analysis</t>
    <phoneticPr fontId="1" type="noConversion"/>
  </si>
  <si>
    <t>Korean Society of Nursing Science</t>
    <phoneticPr fontId="1" type="noConversion"/>
  </si>
  <si>
    <t>Journal of Korean Academy of Nursing</t>
    <phoneticPr fontId="1" type="noConversion"/>
  </si>
  <si>
    <t>2016 Year-in-Review of Clinical and Consumer Informatics: Analysis and Visualization of Keywords and Topics</t>
    <phoneticPr fontId="1" type="noConversion"/>
  </si>
  <si>
    <t>Identifying product opportunities using collaborative filtering-based patent analysis</t>
    <phoneticPr fontId="1" type="noConversion"/>
  </si>
  <si>
    <t>10.23844/kjcp.2024.11.36.4.1803</t>
    <phoneticPr fontId="1" type="noConversion"/>
  </si>
  <si>
    <t>김가을, 김소현</t>
    <phoneticPr fontId="1" type="noConversion"/>
  </si>
  <si>
    <t>10.1016/j.ijinfomgt.2017.09.009</t>
    <phoneticPr fontId="1" type="noConversion"/>
  </si>
  <si>
    <t>Social media mining for product planning: A product opportunity mining approach based on topic modeling and sentiment analysis</t>
    <phoneticPr fontId="1" type="noConversion"/>
  </si>
  <si>
    <t>Mapping the knowledge structure of frailty in journal articles by text network analysis</t>
    <phoneticPr fontId="1" type="noConversion"/>
  </si>
  <si>
    <t>Youngji Kim,Soong-nang Jang</t>
    <phoneticPr fontId="1" type="noConversion"/>
  </si>
  <si>
    <t>journal articles by text network analysis</t>
    <phoneticPr fontId="1" type="noConversion"/>
  </si>
  <si>
    <t>한국청소년문화연구소</t>
    <phoneticPr fontId="1" type="noConversion"/>
  </si>
  <si>
    <t>청소년문화포럼</t>
    <phoneticPr fontId="1" type="noConversion"/>
  </si>
  <si>
    <t>한국체육학회지</t>
  </si>
  <si>
    <t>한국문헌정보학회지</t>
  </si>
  <si>
    <t>교육공학연구</t>
  </si>
  <si>
    <t>한국인터넷정보학회</t>
  </si>
  <si>
    <t>한국체육측정평가학회지</t>
  </si>
  <si>
    <t>직업교육연구</t>
  </si>
  <si>
    <t>장애와 고용</t>
  </si>
  <si>
    <t>한국도시지리학회지</t>
  </si>
  <si>
    <t>교육문화연구</t>
  </si>
  <si>
    <t>한국정보관리학회</t>
  </si>
  <si>
    <t>한국사회체육학회지</t>
  </si>
  <si>
    <t>교육방법연구</t>
  </si>
  <si>
    <t>정보관리학회지</t>
  </si>
  <si>
    <t>지역사회연구</t>
  </si>
  <si>
    <t>‘어린이’와 ‘키즈’를 주제어로 하는 유튜브(YouTube) 콘텐츠 분석: LDA 토픽모델링을 활용하여</t>
  </si>
  <si>
    <t>Lee, Keunyoung; Jung, Boomin</t>
  </si>
  <si>
    <t>열린유아교육연구</t>
  </si>
  <si>
    <t>한국열린유아교육학회</t>
  </si>
  <si>
    <t>기후재난 관리를 위한 적응대책 네트워크 분석</t>
  </si>
  <si>
    <t>Analysis of Adaptation Measure Networks for Climate Disaster Management</t>
  </si>
  <si>
    <t>Kim, Na yoon; Chang Sug Park</t>
  </si>
  <si>
    <t>한국방재학회논문집</t>
  </si>
  <si>
    <t>한국방재학회</t>
  </si>
  <si>
    <t>텍스트 마이닝을 활용한 이주배경 구성원의 문화적응 스트레스의 연구동향 분석</t>
  </si>
  <si>
    <t>Analysis on Research Trends in Acculturative Stress Among Immigrants Using Text Mining</t>
  </si>
  <si>
    <t>Kim Yihyun; Insoo Oh; Jiyoon Ban</t>
  </si>
  <si>
    <t>교육발전</t>
  </si>
  <si>
    <t>사범대학 부설 교육연구소</t>
  </si>
  <si>
    <t>텍스트 네트워크 분석을 통한 ‘좋은 상담교사’에 대한 예비 교원의 인식</t>
  </si>
  <si>
    <t>A Study on the pre-service teachers’ perception of ‘good counseling teacher’: Using text network analysis</t>
  </si>
  <si>
    <t>Lee, Jeong Sook; Jung, Yunhee</t>
  </si>
  <si>
    <t>교육의 이론과 실천</t>
  </si>
  <si>
    <t>한독교육학회</t>
  </si>
  <si>
    <t>한국어 화용 교육 연구의 현황 및 과제- 토픽 모델링과 키워드 네트워크 분석을 중심으로 -</t>
  </si>
  <si>
    <t>Jungran Lee</t>
  </si>
  <si>
    <t>영주어문</t>
  </si>
  <si>
    <t>영주어문학회</t>
  </si>
  <si>
    <t>텍스트 마이닝을 활용한 사이버폭력 주변인의 연구동향 분석</t>
  </si>
  <si>
    <t>A Study on the Research Trends in Bystander at Cyberbullying Using Text Mining</t>
  </si>
  <si>
    <t>BAN, Jiyoon; Kim, Donghwa</t>
  </si>
  <si>
    <t>교육학연구</t>
  </si>
  <si>
    <t>한국교육학회</t>
  </si>
  <si>
    <t>Covid-19 팬데믹 기간 동북아시아 항공화물 네트워크 변화분석</t>
  </si>
  <si>
    <t>Changes of Northeast Asian Air Cargo Network During Covid-19 Pandemic</t>
  </si>
  <si>
    <t>Jin-Hee Lim; Su-Han Woo</t>
  </si>
  <si>
    <t>물류학회지</t>
  </si>
  <si>
    <t>한국물류학회</t>
  </si>
  <si>
    <t>한국융합과학회지</t>
  </si>
  <si>
    <t>한국융합과학회</t>
  </si>
  <si>
    <t>사례관리에 관한 연구동향: 언어 네트워크 분석과 토픽모델링 활용</t>
  </si>
  <si>
    <t>The Trends in the Research on Case Management: Using Sematic Network Analysis and Topic Modeling</t>
  </si>
  <si>
    <t>Eun-A Park; Jae-Kyeong Lee; Hye-Chung Cho</t>
  </si>
  <si>
    <t>보건과 복지</t>
  </si>
  <si>
    <t>한국보건복지학회</t>
  </si>
  <si>
    <t>텍스트 마이닝을 활용한 국내 상담 연구 동향 분석</t>
  </si>
  <si>
    <t>An Analysis of Counseling Research Trends Using Text Mining in South Korea</t>
  </si>
  <si>
    <t>Seon, Hye-Yon; Kim, Hui-Ju; Kim, Ye-Jee; Park, Ye-Rin</t>
  </si>
  <si>
    <t>교육치료연구</t>
  </si>
  <si>
    <t>한국교육치료학회</t>
  </si>
  <si>
    <t>키워드 네트워크 분석을 통한 사립유치원 연구 동향 분석</t>
  </si>
  <si>
    <t>Ju-Hyun Park; Kyeonghwa Lee</t>
  </si>
  <si>
    <t>교원교육</t>
  </si>
  <si>
    <t>교육연구원</t>
  </si>
  <si>
    <t>과로자살 뉴스 기사의 분석을 통해 살펴본 가톨릭교회의 가르침과 카리타스학적 함의</t>
  </si>
  <si>
    <t>Mee Sook Kim; Kim, Seung Ju</t>
  </si>
  <si>
    <t>신학과철학</t>
  </si>
  <si>
    <t>서강대학교 신학연구소</t>
  </si>
  <si>
    <t>토픽 모델링 분석을 활용한 통일교육 연구동향과 함의</t>
  </si>
  <si>
    <t>Research Trends and Implications of Unification Education Using Topic Modeling Analysis</t>
  </si>
  <si>
    <t>sokchun chang; KIM EZRA</t>
  </si>
  <si>
    <t>평화학연구</t>
  </si>
  <si>
    <t>사단법인 한국평화연구학회</t>
  </si>
  <si>
    <t>언론 기사에 나타난 황사와 미세먼지 관련 키워드 및 토픽 분석</t>
  </si>
  <si>
    <t>Lim, Jeong-min; Sang-ihn Yeo</t>
  </si>
  <si>
    <t>에너지기후변화교육</t>
  </si>
  <si>
    <t>에너지기후변화교육학회</t>
  </si>
  <si>
    <t>언어 네트워크 분석과 토픽 모델링을 활용한 학문 목적 한국어 말하기 교육 연구 동향 분석</t>
  </si>
  <si>
    <t>Hyunjung Choi; park, bujeon</t>
  </si>
  <si>
    <t>새국어교육</t>
  </si>
  <si>
    <t>한국국어교육학회</t>
  </si>
  <si>
    <t>디지털 플랫폼을 활용한 목회자 사모를 위한 멘탈피트니스 프로그램의 통합적 효과 분석</t>
  </si>
  <si>
    <t>Analyzing the Comprehensive Efficacy of a Digital Platform - Based the Mental Fitness Program for Pastoral Wives -</t>
  </si>
  <si>
    <t>Kim, Semi; Kim Nami; Kim, Jihyun</t>
  </si>
  <si>
    <t>신학과 학문</t>
  </si>
  <si>
    <t>신학연구소</t>
  </si>
  <si>
    <t>빅데이터를 활용한 한국전통무용 미디어 담론 분석</t>
  </si>
  <si>
    <t>Ho-Na Jo</t>
  </si>
  <si>
    <t>한국체육학회</t>
  </si>
  <si>
    <t>텍스트 마이닝을 활용한 애플리케이션 기반 음악교육 연구 동향 분석</t>
  </si>
  <si>
    <t>Ji Hyun Kim</t>
  </si>
  <si>
    <t>문화예술교육연구</t>
  </si>
  <si>
    <t>한국문화교육학회</t>
  </si>
  <si>
    <t>키워드 네트워크 분석을 통한 발달장애인의 사회성 관련 연구 동향 분석</t>
  </si>
  <si>
    <t>Keyword Network Analysis of Research Trends on Social Skills in Individuals with Developmental Disabilities Using</t>
  </si>
  <si>
    <t>Kim, Dongil; Kim, Nayeon; Baek, Huiyeong; Ahn, Sungjin</t>
  </si>
  <si>
    <t>자폐성장애연구</t>
  </si>
  <si>
    <t>한국자폐학회</t>
  </si>
  <si>
    <t>언론에 보도된 과로사 기사에 대한 텍스트 네트워크 분석 및 시사점: 한국형 절망사의 단면 탐색</t>
  </si>
  <si>
    <t>Mee Sook Kim; Jinyoung Moon</t>
  </si>
  <si>
    <t>사회복지연구</t>
  </si>
  <si>
    <t>한국사회복지연구회</t>
  </si>
  <si>
    <t>키워드 네트워크 분석을 활용한 직무배태성 연구동향 분석: 국내 학술지를 중심으로</t>
  </si>
  <si>
    <t>LeeJiYeong; Hong-In Jeong; Park, Somi</t>
  </si>
  <si>
    <t>평생교육 · HRD연구</t>
  </si>
  <si>
    <t>한국평생교육ㆍHRD연구소</t>
  </si>
  <si>
    <t>키워드 네트워크 분석을 활용한 국내 설교학 분야 연구동향 연구</t>
  </si>
  <si>
    <t>Kwang Hyun Cho; Hyunsook Kim</t>
  </si>
  <si>
    <t>성경과 신학</t>
  </si>
  <si>
    <t>한국복음주의신학회</t>
  </si>
  <si>
    <t>한국산학기술학회논문지</t>
  </si>
  <si>
    <t>한국산학기술학회</t>
  </si>
  <si>
    <t>텍스트 네트워크 분석(TNA) 방법을 활용한 초등돌봄교실 연구동향 분석</t>
  </si>
  <si>
    <t>Research Trends on Elementary School Childcare Program by Text Network Analysis</t>
  </si>
  <si>
    <t>Bongjo Lim</t>
  </si>
  <si>
    <t>종교교육학연구</t>
  </si>
  <si>
    <t>한국종교교육학회</t>
  </si>
  <si>
    <t>텍스트 마이닝과 키워드 네트워크 분석을 이용한 도시재생과 관광 분야국내외 연구동향 비교 연구</t>
  </si>
  <si>
    <t>cho si-young; KwanKug Lee</t>
  </si>
  <si>
    <t>산업혁신연구</t>
  </si>
  <si>
    <t>산업개발연구소</t>
  </si>
  <si>
    <t>동시인용 분석 기반 국내 문헌정보학 분야의 지적구조에 관한 연구</t>
  </si>
  <si>
    <t>MinHui Lee; SeungJin Kwak</t>
  </si>
  <si>
    <t>한국문헌정보학회</t>
  </si>
  <si>
    <t>한국스포츠학회</t>
  </si>
  <si>
    <t>유아교육학논집</t>
  </si>
  <si>
    <t>한국영유아교원교육학회</t>
  </si>
  <si>
    <t>인공지능을 활용한 미래교육 연구 동향 분석-2000~2023년 연구물을 중심으로-</t>
  </si>
  <si>
    <t>Seo Yun A; Nam Ki Won</t>
  </si>
  <si>
    <t>문화기술의 융합</t>
  </si>
  <si>
    <t>국제문화기술진흥원</t>
  </si>
  <si>
    <t>의미연결망 분석을 통해 본 장애여성 분야의 연구동향 - 2000년~2022년까지 국내등재학술지를 중심으로 -</t>
  </si>
  <si>
    <t>Shin Yu Ri; Moon  Kyung-Joo</t>
  </si>
  <si>
    <t>한국지역사회학회</t>
  </si>
  <si>
    <t>뉴스 빅데이터를 이용한 국내 언론의 무용공연 보도 특성 분석</t>
  </si>
  <si>
    <t>Lee Yoon Kyung; Kim Tae Yeon</t>
  </si>
  <si>
    <t>한국무용과학회지</t>
  </si>
  <si>
    <t>한국무용과학회</t>
  </si>
  <si>
    <t>교육연구소</t>
  </si>
  <si>
    <t>키워드 네트워크 분석 및 토픽모델링을 활용한 위기개입·상담 관련 연구동향 분석</t>
  </si>
  <si>
    <t>Moonkyeong Jeong</t>
  </si>
  <si>
    <t>한국과 국제사회</t>
  </si>
  <si>
    <t>한국정치사회연구소</t>
  </si>
  <si>
    <t>텍스트 마이닝을 활용한 학교체육정책 연구 동향 분석</t>
  </si>
  <si>
    <t>Analysis of school sports policy research trends using text mining</t>
  </si>
  <si>
    <t>Kuk, Min-Jun; Park, Dae-Won</t>
  </si>
  <si>
    <t>교사교육연구</t>
  </si>
  <si>
    <t>과학교육연구소</t>
  </si>
  <si>
    <t>텍스트네트워크분석을 활용한 신규간호사가 경험하는 현실충격 관련 연구의 지식구조 분석</t>
  </si>
  <si>
    <t>Yun Hee Jang</t>
  </si>
  <si>
    <t>어린이미디어연구</t>
  </si>
  <si>
    <t>한국어린이미디어학회</t>
  </si>
  <si>
    <t>사회 연결망 분석을 활용한 GOLDEN 성격유형의 네트워크 분석</t>
  </si>
  <si>
    <t>Network Analysis of Golden Personality Types using Social Network Analysis</t>
  </si>
  <si>
    <t>Insoo Oh; BAN, Jiyoon; JieHyang Son</t>
  </si>
  <si>
    <t>텍스트 마이닝을 활용한 노동시장 성과의 연구동향 분석</t>
  </si>
  <si>
    <t>Donghwa Kim; Jiyoon Ban</t>
  </si>
  <si>
    <t>직업능력개발연구</t>
  </si>
  <si>
    <t>한국직업능력연구원</t>
  </si>
  <si>
    <t>토픽모델링을 활용한 특성화고 위기 관련 미디어 담론 분석</t>
  </si>
  <si>
    <t>Media Discourse Analysis on Crisis of Vocational High Schools</t>
  </si>
  <si>
    <t>Choi, Seongkyu; 임수아; 문보름; Cho, Young ha</t>
  </si>
  <si>
    <t>한국교육문제연구</t>
  </si>
  <si>
    <t>한국교육문제연구소</t>
  </si>
  <si>
    <t>간호대학생의 서비스 디자인 기반 간호관리학실습 경험 : 텍스트 네트워크 분석의 적용</t>
  </si>
  <si>
    <t>Song Mi Ok</t>
  </si>
  <si>
    <t>텍스트 마이닝을 활용한 다문화 연구동향 분석</t>
  </si>
  <si>
    <t>Yun Young; Han Seungkyu; Lee Changbong</t>
  </si>
  <si>
    <t>문화교류와 다문화교육</t>
  </si>
  <si>
    <t>한국국제문화교류학회</t>
  </si>
  <si>
    <t>한국콘텐츠학회 논문지</t>
  </si>
  <si>
    <t>한국콘텐츠학회</t>
  </si>
  <si>
    <t>LDA 토픽모델링을 활용한 국내 영유아 돌봄 관련 연구 동향 분석</t>
  </si>
  <si>
    <t>Chung, Chunghee; Lee, Hyorim; Jung, Boomin</t>
  </si>
  <si>
    <t>초등과학교육</t>
  </si>
  <si>
    <t>한국초등과학교육학회</t>
  </si>
  <si>
    <t>공공무용단의 유튜브(YouTube)콘텐츠 표현유형에 대한 이용자 반응 분석</t>
  </si>
  <si>
    <t>Taeyeon Kim</t>
  </si>
  <si>
    <t>한국무용학회지</t>
  </si>
  <si>
    <t>한국무용학회</t>
  </si>
  <si>
    <t>국내·외 도덕적 고뇌 관련 간호연구의 주제동향: 텍스트네트워크분석 및 토픽모델링 적용</t>
  </si>
  <si>
    <t>National and International Trends in Research on Moral Distress in Nursing: Text-network Analysis and Topic Modeling</t>
  </si>
  <si>
    <t>Park Chan Sook</t>
  </si>
  <si>
    <t>한국의료윤리학회지</t>
  </si>
  <si>
    <t>한국의료윤리학회</t>
  </si>
  <si>
    <t>텍스트 마이닝을 활용한 예비음악교사에 관한 연구동향 분석</t>
  </si>
  <si>
    <t>Research trend analysis of pre-service music teachers in Korea using text mining</t>
  </si>
  <si>
    <t>음악교육공학</t>
  </si>
  <si>
    <t>한국음악교육공학회</t>
  </si>
  <si>
    <t>소셜미디어 데이터 분석을 활용한 COVID-19 전후 박쥐의 인식변화 연구</t>
  </si>
  <si>
    <t>Lee, Ju-Kyung; Byeori Kim; Sun-Sook Kim</t>
  </si>
  <si>
    <t>환경영향평가</t>
  </si>
  <si>
    <t>한국환경영향평가학회</t>
  </si>
  <si>
    <t>텍스트 마이닝을 활용한 누리과정 연구동향 분석</t>
  </si>
  <si>
    <t>Text mining analysis of research trends in the Nuri curriculum</t>
  </si>
  <si>
    <t>Park, Cheon-Jin; Chung, Hyewon</t>
  </si>
  <si>
    <t>2023 카타르 아시안컵 축구협회를 둘러싼 여론 변화 탐색: 토픽모델링 분석을 중심으로</t>
  </si>
  <si>
    <t>Public Opinion Changes Surrounding the 2023 Qatar Asian Cup Football Association: Focusing on Topic Modelling Analysis</t>
  </si>
  <si>
    <t>Kim, Nam-Gyu</t>
  </si>
  <si>
    <t>재활치료과학</t>
  </si>
  <si>
    <t>대한신경계작업치료학회</t>
  </si>
  <si>
    <t>스포츠사이언스</t>
  </si>
  <si>
    <t>체육과학연구소</t>
  </si>
  <si>
    <t>픽모델링을 활용한 고용가능성 연구 동향 분석:국외 학술지를 중심으로</t>
  </si>
  <si>
    <t>Kang, Minji; Minhee Kim; Jinchul Jeong</t>
  </si>
  <si>
    <t>토픽 모델링과 언어 네트워크 분석에 기반한 한국어 발음 연구 동향 분석</t>
  </si>
  <si>
    <t>Trend Analysis of Korean Pronunciation Research Based on Topic Modeling and Language Network Analysis</t>
  </si>
  <si>
    <t>Cho Nam Hyun; Jang Kyung Wan</t>
  </si>
  <si>
    <t>학습자중심교과교육연구</t>
  </si>
  <si>
    <t>학습자중심교과교육학회</t>
  </si>
  <si>
    <t>예비유아교사의 플립러닝 수업 효과 탐색-놀이지도 수업을 중심으로-</t>
  </si>
  <si>
    <t>Cho, Hea Youn; (Ryu, Jun Ho; Lee, Gha-Hyun; Yoon, Ji-Woo</t>
  </si>
  <si>
    <t>COVID-19시기의 영유아 건강 관련 뉴스 토픽모델링 분석 - 휴교를 중심으로</t>
  </si>
  <si>
    <t>Topic modeling analysis of children’s-health-related news in the COVID-19 era - Focusing on school closures</t>
  </si>
  <si>
    <t>Boomin Jung; Hyorim Lee</t>
  </si>
  <si>
    <t>교육분야에서 ‘미래’의 의미탐색을 위한 키워드 네트워크 분석</t>
  </si>
  <si>
    <t>Exploring the meaning of ‘future’ in the field of education using keyword network analysis</t>
  </si>
  <si>
    <t>Lee Eun-Taek; Lee Eunjung</t>
  </si>
  <si>
    <t>언론에 나타난 태권도 이슈 탐색: 키워드 네트워크 분석의 적용</t>
  </si>
  <si>
    <t>YunHo KIM; Kwak, Taek-Yong; BongSeok Kim; ChangHwan Choi</t>
  </si>
  <si>
    <t>한국체육측정평가학회</t>
  </si>
  <si>
    <t>중고령 장애인 관련 국내 연구동향: 언어 네트워크 분석과 토픽모델링 활용</t>
  </si>
  <si>
    <t>Yi Eunsil; Cho, Hye Chung</t>
  </si>
  <si>
    <t>한국장애인고용공단 고용개발원</t>
  </si>
  <si>
    <t>「통일교육 지원법」상 대학에서의 통일교육 활성화를 위한 대학생 통일 인식 연구</t>
  </si>
  <si>
    <t>DAE HONG KIM; Sung-Tae Kim</t>
  </si>
  <si>
    <t>법학논총</t>
  </si>
  <si>
    <t>법학연구소</t>
  </si>
  <si>
    <t>국내 크리스천 코칭 연구동향 분석:키워드 네트워크 및 토픽모델링 분석을 중심으로</t>
  </si>
  <si>
    <t>Analysis of Research Trends in Christian Coaching in South Korea - Keyword Network and Topic Modeling Analysis</t>
  </si>
  <si>
    <t>Choi, Yun-jeong; Kim, Yong-ku</t>
  </si>
  <si>
    <t>코칭연구</t>
  </si>
  <si>
    <t>한국코칭학회</t>
  </si>
  <si>
    <t>텍스트 마이닝을 활용한 태권도 겨루기 심판판정에 대한 선수들의 인식 탐색</t>
  </si>
  <si>
    <t>김윤호; ChangHwan Choi</t>
  </si>
  <si>
    <t>국내 기록보존 연구동향 분석: 2000~2021년 학술논문을 중심으로</t>
  </si>
  <si>
    <t>Yonwhee Na; Heejin Park</t>
  </si>
  <si>
    <t>한국기록관리학회지</t>
  </si>
  <si>
    <t>한국기록관리학회</t>
  </si>
  <si>
    <t>빅데이터를 활용한 건강신념모델(Health Belief Model) 이론의 국내와 국외 연구동향 비교분석 - 코로나 19 발생기간을 중심으로 -</t>
  </si>
  <si>
    <t>kwonhyejin; Amarjargal Dagvadorj; Hak-Seon Kim</t>
  </si>
  <si>
    <t>네트워크 분석을 통한 국내 경력단절 관련 연구동향 분석</t>
  </si>
  <si>
    <t>Park Kyungyi; Jihyun Shim</t>
  </si>
  <si>
    <t>여성연구</t>
  </si>
  <si>
    <t>한국여성정책연구원</t>
  </si>
  <si>
    <t>배달 서비스 플랫폼의 가치공동파괴와 회복에 관한 연구</t>
  </si>
  <si>
    <t>Study on the Destruction and Restoration of Common Values in Delivery Service Platforms: Focusing on CONCOR Analysis</t>
  </si>
  <si>
    <t>Seong-Won Eum</t>
  </si>
  <si>
    <t>Journal of The Korean Data Analysis Society</t>
  </si>
  <si>
    <t>한국자료분석학회</t>
  </si>
  <si>
    <t>학생선수 관련 뉴스 기사의 이슈탐색: 토픽모델링 활용</t>
  </si>
  <si>
    <t>Jo, Eunhye; Sung in Jo; Kim Hyeoijin</t>
  </si>
  <si>
    <t>아동의 작업 연구주제어의 사회연결망 분석</t>
  </si>
  <si>
    <t>Ha, Seong-Kyu; Kang-Hyun Park</t>
  </si>
  <si>
    <t>대한작업치료학회지</t>
  </si>
  <si>
    <t>키워드 네트워크 분석을 활용한 국내 학생건강체력평가(PAPS) 연구동향분석</t>
  </si>
  <si>
    <t>Jo, Eunhye; Yeongtak Choi; Kim Hyeoijin</t>
  </si>
  <si>
    <t>국내 교수설계 관련 연구동향 분석:『교육공학연구』에 나타난 주제, 방법, 맥락, 키워드를 중심으로</t>
  </si>
  <si>
    <t>Bo-Kyung Go; Cheolil Lim; Jeong, Yeil; Taeyoen Eom</t>
  </si>
  <si>
    <t>한국교육공학회</t>
  </si>
  <si>
    <t>긍정 심리학의 연구 동향: 「Journal of Positive Psychology」를 중심으로</t>
  </si>
  <si>
    <t>Kim, Do Hee; La Won Key; CAO PINGPING</t>
  </si>
  <si>
    <t>경영·무역 학술논문의 의미 네트워크 분석법 도입에 관한 연구</t>
  </si>
  <si>
    <t>Hong, Eui; Jeon, Ho-Jin; Kim, Young-Min</t>
  </si>
  <si>
    <t>경영컨설팅연구</t>
  </si>
  <si>
    <t>한국경영컨설팅학회</t>
  </si>
  <si>
    <t>토픽모델링을 활용한 문화도시 관련 연구 동향 분석</t>
  </si>
  <si>
    <t>Analysis of Research Trends on Cultural City Using Topic Modeling</t>
  </si>
  <si>
    <t>Kim, Min-Sun</t>
  </si>
  <si>
    <t>문화산업연구</t>
  </si>
  <si>
    <t>한국문화산업학회</t>
  </si>
  <si>
    <t>키워드 네트워크 분석을 통한 국내 공공디자인 연구 동향 분석 -2016-2022년까지 발행된 국내 학술논문 중심으로-</t>
  </si>
  <si>
    <t>Hong, Tae Eui; LEE Hyunsung; Joo Yun Kim</t>
  </si>
  <si>
    <t>한국디자인문화학회지</t>
  </si>
  <si>
    <t>한국디자인문화학회</t>
  </si>
  <si>
    <t>키워드 네트워크 분석을 활용한 유·초 연계 연구동향 분석: 유아교육의 가치 지속성과 유·초 전이 지원의 미래 방향 고찰</t>
  </si>
  <si>
    <t>Analysis of Research Trends Related to the Continuity between Early Childhood Education and Elementary Education via Keyword Network Analysis: Future Direction of Transition Support by Sustaining the Value of Early Childhood Education</t>
  </si>
  <si>
    <t>Park, Keon-Ryeong</t>
  </si>
  <si>
    <t>텍스트마이닝을 활용한 저시력 관련 기사 분석</t>
  </si>
  <si>
    <t>Shin, Yeon-Seo</t>
  </si>
  <si>
    <t>시각장애연구</t>
  </si>
  <si>
    <t>한국시각장애교육&amp;재활학회</t>
  </si>
  <si>
    <t>국기원 태권도연구</t>
  </si>
  <si>
    <t>국기원</t>
  </si>
  <si>
    <t>한국가정과교육학회지</t>
  </si>
  <si>
    <t>한국가정과교육학회</t>
  </si>
  <si>
    <t>키워드 네트워크 분석을 통해 살펴본 국내 자립준비청년 연구 동향</t>
  </si>
  <si>
    <t>Keyword Network Analysis of Research Trends on Youth Preparing for Independent Living in South Korea</t>
  </si>
  <si>
    <t>Kim, Eul Su; Cho, So Yeun</t>
  </si>
  <si>
    <t>청소년복지연구</t>
  </si>
  <si>
    <t>한국청소년복지학회</t>
  </si>
  <si>
    <t>국내 엘리트 태권도 선수를 키워드로한 연구동향 분석: 네트워크 분석의 적용</t>
  </si>
  <si>
    <t>Kim, Yun-Ho</t>
  </si>
  <si>
    <t>장애인 신체활동 관련 뉴스 기사의 이슈: 텍스트 마이닝 기반 토픽 모델링의 적용</t>
  </si>
  <si>
    <t>ChangHwan Choi</t>
  </si>
  <si>
    <t>Semantic Domains and Language Network Analysis of Synonymous Adjectives in COCA</t>
  </si>
  <si>
    <t>Ha, Myoung-Ho</t>
  </si>
  <si>
    <t>영어영문학연구</t>
  </si>
  <si>
    <t>한국중앙영어영문학회</t>
  </si>
  <si>
    <t>텍스트마이닝을 활용한 태권도 겨루기 지도자 코칭 전문성 및 개선점 탐색</t>
  </si>
  <si>
    <t>Joon-Chul Ji; Jun, Mun-Gyu</t>
  </si>
  <si>
    <t>키워드 네트워크 분석을 활용한 국내 미술치료 질적 연구 동향 분석(2013～2024)</t>
  </si>
  <si>
    <t>Trends Analysis of Domestic Art Therapy Qualitative Research Using Keyword Network Analysis(2013-2024)</t>
  </si>
  <si>
    <t>Choi, Han-Na; Lim, Na-Young</t>
  </si>
  <si>
    <t>예술심리치료연구</t>
  </si>
  <si>
    <t>한국예술심리치료학회</t>
  </si>
  <si>
    <t>국제경영 분야의 블록체인 관련 연구 동향 탐색</t>
  </si>
  <si>
    <t>Chung, Jee Yong; Kim, Moon Soo; Kim, So-Hyung; Choi, Hyang Mi</t>
  </si>
  <si>
    <t>국제경영리뷰</t>
  </si>
  <si>
    <t>한국국제경영관리학회</t>
  </si>
  <si>
    <t>데이터 분석 기법을 이용한21세기 한문학 연구동향 분석-『한국한문학연구』를 중심으로-</t>
  </si>
  <si>
    <t>kim kyung</t>
  </si>
  <si>
    <t>한국한문학연구</t>
  </si>
  <si>
    <t>한국한문학회</t>
  </si>
  <si>
    <t>목회역량 강화를 위한 신학교육: 오래된 과제, 새로운 방향</t>
  </si>
  <si>
    <t>Theological Education to Strengthen Ministry Competence: Old Tasks, but New Directions</t>
  </si>
  <si>
    <t>Kim Hyo Sook</t>
  </si>
  <si>
    <t>선교와신학</t>
  </si>
  <si>
    <t>세계선교연구원</t>
  </si>
  <si>
    <t>대학생 글쓰기에 나타난 결혼, 비혼 관련 어휘 네트워크 분석 연구</t>
  </si>
  <si>
    <t>A Study on the Analysis of Vocabulary Network Related to Marriage and Non-marriage in College Student Writing</t>
  </si>
  <si>
    <t>Lee Hyo In</t>
  </si>
  <si>
    <t>전남대 어문논총</t>
  </si>
  <si>
    <t>한국어문학연구소</t>
  </si>
  <si>
    <t>빅데이터를 활용한 코로나19 전후 1인 가구 뉴스기사 비교</t>
  </si>
  <si>
    <t>Big Data Analysis on News Articles on One-person Household: A Comparison Before and After the COVID-19 Pandemic</t>
  </si>
  <si>
    <t>Youjin Kim; CHIN, MEEJUNG; Hyeonji Cho</t>
  </si>
  <si>
    <t>가정과삶의질연구</t>
  </si>
  <si>
    <t>가정과삶의질학회</t>
  </si>
  <si>
    <t>LDA 토픽 모델링을 활용한 ??건강가정?? 연구동향 분석: 제1차~제4차 건강가정기본계획 시기를 중심으로</t>
  </si>
  <si>
    <t>Lee Hyun Ah; Soonbum Kwon</t>
  </si>
  <si>
    <t>가족자원경영과 정책</t>
  </si>
  <si>
    <t>한국가족자원경영학회</t>
  </si>
  <si>
    <t>스포츠 AI 심판에 대한 언론의 인식: 키워드 네트워크 분석 활용</t>
  </si>
  <si>
    <t>sehwa KIM; Jae-Hyeon; Jiwun Yoon</t>
  </si>
  <si>
    <t>워드 클라우드 기법을 활용한 장애인체육 관련 법 분석과 함의</t>
  </si>
  <si>
    <t>Myung-Gyu Park; Minkyu Han</t>
  </si>
  <si>
    <t>키워드 네트워크를 활용한 국내 집단상담 연구 동향 분석(2008∼2022)</t>
  </si>
  <si>
    <t>Kwon, Kyoung-In; Kim, Min-Hyang</t>
  </si>
  <si>
    <t>상담학연구</t>
  </si>
  <si>
    <t>한국상담학회</t>
  </si>
  <si>
    <t>만 3세 유아 학부모의 유치원 및 어린이집 선택 요인과 요구 탐색: 의미연결망 분석방법을 중심으로</t>
  </si>
  <si>
    <t>Exploring the selection factors and needs of kindergartens and daycare centers for parents of 3-year-old infants: Focusing on the semantic network analysis method</t>
  </si>
  <si>
    <t>Lee So Jung; Seo, Yoon-Hee</t>
  </si>
  <si>
    <t>Research Trends on Doctors’ Competencies in Korea Using Text Network Analysis</t>
  </si>
  <si>
    <t>Young Jon Kim; Jea Woog Lee; Yune, So-Jung</t>
  </si>
  <si>
    <t>의학교육논단</t>
  </si>
  <si>
    <t>연세대학교 의과대학</t>
  </si>
  <si>
    <t>네트워크 분석과 토픽모델링을 활용한 대학의 핵심역량 탐색</t>
  </si>
  <si>
    <t>Exploring the Core Competencies of Universities Using Network Analysis and Topic Modeling</t>
  </si>
  <si>
    <t>Mi-Hyun Bang; Youngmin Lee</t>
  </si>
  <si>
    <t>수학 선행학습에 대한 언론의 토픽 변화 탐색</t>
  </si>
  <si>
    <t>Exploring Media's Topic Changes in Mathematics Pre-Learning</t>
  </si>
  <si>
    <t>Hye-Jun Lee; Han Ki Soon</t>
  </si>
  <si>
    <t>사고개발</t>
  </si>
  <si>
    <t>대한사고개발학회</t>
  </si>
  <si>
    <t>아시안게임 e스포츠 시범 종목 시행 전후 인식 비교: 언론보도 대상 키워드 네트워크 분석</t>
  </si>
  <si>
    <t>Seo YooJin; Jiwun Yoon; Jae-Hyeon</t>
  </si>
  <si>
    <t>키워드 네트워크 분석을 활용한 유아 놀이치료 관련 연구동향 분석</t>
  </si>
  <si>
    <t>An Analysis of Research Trends Related to Children's Play Therapy Using Keyword Network Analysis</t>
  </si>
  <si>
    <t>An, Ji-su; Baek, Seo-jin</t>
  </si>
  <si>
    <t>키워드 네트워크를 통한 학교도서관 활용수업 연구 동향 분석</t>
  </si>
  <si>
    <t>Subin Yoon; Sena Lee; Hwanseok Choi</t>
  </si>
  <si>
    <t>사회과학담론과 정책</t>
  </si>
  <si>
    <t>사회과학연구원</t>
  </si>
  <si>
    <t>중독 관련 뉴스의 텍스트 네트워크 분석 및 시사점: 1990년부터 현재까지</t>
  </si>
  <si>
    <t>Text Network Analysis of Addiction-Related News Coverage and Its Implications: From 1990 To the Present</t>
  </si>
  <si>
    <t>Kim, Mee Sook</t>
  </si>
  <si>
    <t>한국웰니스학회지</t>
  </si>
  <si>
    <t>한국웰니스학회</t>
  </si>
  <si>
    <t>텍스트네트워크 분석을 활용한 국내 의사 직무역량 연구동향 분석</t>
  </si>
  <si>
    <t>Research Trends on Doctor’s Job Competencies in Korea Using Text Network Analysis</t>
  </si>
  <si>
    <t>심부전의 한약 임상연구에 활용된 한약재에 대한 기구축 DB(K-HERB NETWORK)를 활용한 네트워크 분석</t>
  </si>
  <si>
    <t>Network Analysis Using the Established Database (K-herb Network) on Herbal Medicines Used in Clinical Research on Heart Failure</t>
  </si>
  <si>
    <t>Su-bin Park; Ye-ji Kim; Gi-Sang Bae; Cheol-hyun Kim; Inae Youn; Jungtae Leem; Chu Hongmin</t>
  </si>
  <si>
    <t>대한한방내과학회지</t>
  </si>
  <si>
    <t>대한한방내과학회</t>
  </si>
  <si>
    <t>A Trend Analysis of Educational Research Applying Text Mining</t>
  </si>
  <si>
    <t>Jin, Sung-Hee; Kim, Hyekyung</t>
  </si>
  <si>
    <t>‘계절의 변화 원인’단원 지도에 대한 초등예비교사들의 인식분석</t>
  </si>
  <si>
    <t>lee yong seob</t>
  </si>
  <si>
    <t>대한지구과학교육학회지</t>
  </si>
  <si>
    <t>대한지구과학교육학회</t>
  </si>
  <si>
    <t>Semantic and Grammatical Analysis of Synonymous Adjectives in British English</t>
  </si>
  <si>
    <t>새한영어영문학</t>
  </si>
  <si>
    <t>새한영어영문학회</t>
  </si>
  <si>
    <t>인천 문화 관련 연구의 키워드 네트워크 분석</t>
  </si>
  <si>
    <t>Keyword network analysis of Incheon culture-related research</t>
  </si>
  <si>
    <t>kim taehoon</t>
  </si>
  <si>
    <t>인천학연구</t>
  </si>
  <si>
    <t>인천학연구원</t>
  </si>
  <si>
    <t>구글문서를 활용한 대학 논술 수업의 온라인 소집단 동료피드백 유형 및 상호작용 분석</t>
  </si>
  <si>
    <t>Lee, Jieun; Yugyeong KIM</t>
  </si>
  <si>
    <t>한국교육방법학회</t>
  </si>
  <si>
    <t>Network Analysis of Semantic Variations in Synonymous Verbs Across British and American English</t>
  </si>
  <si>
    <t>언어과학</t>
  </si>
  <si>
    <t>한국언어과학회</t>
  </si>
  <si>
    <t>텍스트 네트워크분석과 토픽모델링을 활용한 간호·간병통합서비스 연구동향 분석</t>
  </si>
  <si>
    <t>Analysis of Trends in Research on Integrated Nursing Care Services Using Text Network Analysis and Topic Modeling</t>
  </si>
  <si>
    <t>Hyun su Lee; Kim Jin Hee</t>
  </si>
  <si>
    <t>다문화건강학회지</t>
  </si>
  <si>
    <t>다문화건강학회</t>
  </si>
  <si>
    <t>A Trend and Language Network Analysis of Near-synonym Verbs in COCA</t>
  </si>
  <si>
    <t>해상풍력 주민수용성 비교 연구:군산 및 제주도 주민대표 인터뷰의 텍스트 네트워크 분석을 중심으로</t>
  </si>
  <si>
    <t>Sanghyuk Lee; Jaepil Park</t>
  </si>
  <si>
    <t>풍력에너지저널</t>
  </si>
  <si>
    <t>한국풍력에너지학회</t>
  </si>
  <si>
    <t>토픽 모델링을 활용한 영어 어휘 교육 연구에 대한 동향 분석</t>
  </si>
  <si>
    <t>Lee, Eun-Hye</t>
  </si>
  <si>
    <t>영어영문학21</t>
  </si>
  <si>
    <t>21세기영어영문학회</t>
  </si>
  <si>
    <t>A Comparative Analysis of Synonymous Verbs Based on American and British English Usage</t>
  </si>
  <si>
    <t>언어학 연구</t>
  </si>
  <si>
    <t>한국중원언어학회</t>
  </si>
  <si>
    <t>Analysis of Laughter Therapy Trend Using Text Network Analysis and Topic Modeling</t>
  </si>
  <si>
    <t>Do-Young Lee</t>
  </si>
  <si>
    <t>웰빙융합연구</t>
  </si>
  <si>
    <t>한국웰빙융합학회</t>
  </si>
  <si>
    <t>영어교육 교수 도구에 관한 연구 동향</t>
  </si>
  <si>
    <t>Kwon, Eun-Young</t>
  </si>
  <si>
    <t>영어학</t>
  </si>
  <si>
    <t>한국영어학회</t>
  </si>
  <si>
    <t>Analyzing research trends after the international journal transition of the &lt;i&gt;Korean Journal of Medical Education&lt;/i&gt;: using topic modeling techniques</t>
  </si>
  <si>
    <t>Yune, So-Jung; Park, Kwi-Hwa</t>
  </si>
  <si>
    <t>Korean Journal of Medical Education</t>
  </si>
  <si>
    <t>한국의학교육학회</t>
  </si>
  <si>
    <t>Social Network Analysis of Knowledge Structure of Sport Tourism in China</t>
  </si>
  <si>
    <t>You Su; Kim, Kyung-Sik</t>
  </si>
  <si>
    <t>Asia Pacific Journal of Applied Sport Sciences</t>
  </si>
  <si>
    <t>아시아스포츠융합과학회</t>
  </si>
  <si>
    <t>Network Analysis about Study on the Oral Health of People with Disabilities</t>
  </si>
  <si>
    <t>Seol-Hee Kim</t>
  </si>
  <si>
    <t>치위생과학회지</t>
  </si>
  <si>
    <t>한국치위생과학회</t>
  </si>
  <si>
    <t>포스트 코로나 시대의 국내·외 영어교육 연구동향 분석: 키워드 네트워크 분석 및 토픽 모델링 활용</t>
  </si>
  <si>
    <t>Kim, Sunghee; Hyeseong Ahn; Yunkyoung Cho</t>
  </si>
  <si>
    <t>영어교육연구</t>
  </si>
  <si>
    <t>팬코리아영어교육학회</t>
  </si>
  <si>
    <t>Inhye Song; Kyungah Kang</t>
  </si>
  <si>
    <t>Child Health Nursing Research</t>
  </si>
  <si>
    <t>한국아동간호학회</t>
  </si>
  <si>
    <t>Research Trend Analysis of Dental Scaling Using Topic Modeling</t>
  </si>
  <si>
    <t>Moon. kyung-hui</t>
  </si>
  <si>
    <t>International Journal of Clinical Preventive Dentistry</t>
  </si>
  <si>
    <t>대한예방치과학회</t>
  </si>
  <si>
    <t>언어 네트워크 분석을 활용한 코로나19로 인한 남녀 1인가구 사무직 직장인의 음주행태 변화 연구</t>
  </si>
  <si>
    <t>Understanding Changes in Drinking Behavior of One-Person Household Workers amid COVID-19 Using Semintic Network Analysis</t>
  </si>
  <si>
    <t>Tae Hoon Yoon; Aeree Sohn</t>
  </si>
  <si>
    <t>알코올과 건강행동연구</t>
  </si>
  <si>
    <t>알코올과 건강행동학회</t>
  </si>
  <si>
    <t>수상인명구조 분야의 연구동향 분석</t>
  </si>
  <si>
    <t>yeon taek kwon; Kyoungah YEO</t>
  </si>
  <si>
    <t>한국체육정책학회지</t>
  </si>
  <si>
    <t>한국체육정책학회</t>
  </si>
  <si>
    <t>Analysis of Domestic Dental Hygienist Research Trends</t>
  </si>
  <si>
    <t>Kyung Hui Moon</t>
  </si>
  <si>
    <t>한국의 ‘학교-자폐’ 연구 동향: 텍스트 마이닝을 이용한 사회연결망 분석</t>
  </si>
  <si>
    <t>Ha Seong-Kyu; Kim Junghun-Aj</t>
  </si>
  <si>
    <t>대한치료과학회지</t>
  </si>
  <si>
    <t>대한치료과학회</t>
  </si>
  <si>
    <t>식약처 고시 9종 한약서에 수록된 뇌전증 치료 한약 처방의 네트워크 분석</t>
  </si>
  <si>
    <t>Kim Tae Hwan; Kim Hye Yeon; Han Ju Hui; Bang Mi Ran; Chang Gyu Tae; Jin Yong Lee; Kim Hyo In; Donghun Lee; Lee Sun Haeng</t>
  </si>
  <si>
    <t>대한한방소아과학회지</t>
  </si>
  <si>
    <t>대한한방소아과학회</t>
  </si>
  <si>
    <t>영어 어휘 교수?학습에 관한 국내 연구동향분석: KCI 학술지를 중심으로</t>
  </si>
  <si>
    <t>Analysis of research trends on English vocabulary teaching and learning: Focused on the KCI journals</t>
  </si>
  <si>
    <t>Kwon, Eun-Young; Kyeongmin Woo</t>
  </si>
  <si>
    <t>영어어문교육</t>
  </si>
  <si>
    <t>한국영어어문교육학회</t>
  </si>
  <si>
    <t>Human Ecology Research</t>
  </si>
  <si>
    <t>대한가정학회</t>
  </si>
  <si>
    <t>국내 농촌 이주민의 사회통합을 위한 국·내외 연구 동향 분석 - 계량서지학적 방법론을 중심으로 -</t>
  </si>
  <si>
    <t>An Analysis of Internal and External Research Trend on the Issues of Rural Migrant’s Social Integration - Focused on Bibliometric Method -</t>
  </si>
  <si>
    <t>Kim, Du-Won; Nam Jinvo</t>
  </si>
  <si>
    <t>한국농촌건축학회논문집</t>
  </si>
  <si>
    <t>한국농촌건축학회</t>
  </si>
  <si>
    <t>Research trends related to problematic smartphone use among school-age children including parental factors: a text network analysis</t>
  </si>
  <si>
    <t>종합병원 간호단위의 간호사 관계 네트워크 연구</t>
  </si>
  <si>
    <t>Relationship networks among nurses in acute nursing care units</t>
  </si>
  <si>
    <t>Park Seung Mi; Park, Eun Jun</t>
  </si>
  <si>
    <t>한국간호교육학회지</t>
  </si>
  <si>
    <t>한국간호교육학회</t>
  </si>
  <si>
    <t>키워드 네트워크 분석을 활용한 결혼가치관 관련 연구동향 분석</t>
  </si>
  <si>
    <t>Identification of Research Trends Related to Marriage Values Using Keyword Network Analysis</t>
  </si>
  <si>
    <t>Yun A Seo; Hee Jin Jo</t>
  </si>
  <si>
    <t>Research Trends in English Writing: A Semantic Network Analysis</t>
  </si>
  <si>
    <t>Park, Eunhee</t>
  </si>
  <si>
    <t>한국비교정부학보</t>
  </si>
  <si>
    <t>한국비교정부학회</t>
  </si>
  <si>
    <t>지역사회간호학회지</t>
  </si>
  <si>
    <t>한국지역사회간호학회</t>
  </si>
  <si>
    <t>토픽모델링을 이용한 한국 인터넷 뉴스의 간호사 관련 기사 분석: COVID-19 유행시기를 중점으로</t>
  </si>
  <si>
    <t>A topic modeling analysis for Korean online newspapers: Focusing on the social perceptions of nurses during the COVID-19 epidemic period</t>
  </si>
  <si>
    <t>Chang, Soo Jung; Sunah Park; Yedong Son</t>
  </si>
  <si>
    <t>Temporal Exploration of New Nurses’ Field Adaptation Using Text Network Analysis</t>
  </si>
  <si>
    <t>Ahn, Shin Hye; Jeong, Hye Won; Yang, Seong Gyeong; Jung, Ue Seok; Choi, Myoung Lee; Kim, Heui Seon</t>
  </si>
  <si>
    <t>Journal of Korean Academy of Nursing</t>
  </si>
  <si>
    <t>한국간호과학회</t>
  </si>
  <si>
    <t>간호관련 국민청원 분석: 텍스트네트워크 분석 및 토픽모델링</t>
  </si>
  <si>
    <t>National Petition Analysis Related to Nursing: Text Network Analysis and Topic Modeling</t>
  </si>
  <si>
    <t>고현정; Jeong, Seok Hee; Eun Jee Lee; Kim Hee Sun</t>
  </si>
  <si>
    <t>한국문화 교육 주제별 연구 동향 분석-키워드 네트워크 분석 중심으로-</t>
  </si>
  <si>
    <t>chun sooyeon</t>
  </si>
  <si>
    <t>언어와 문화</t>
  </si>
  <si>
    <t>한국언어문화교육학회</t>
  </si>
  <si>
    <t>중등학교 가정과교사 임용시험의 핵심 키워드 탐색: 내용 분석과 텍스트 네트워크 분석을 중심으로</t>
  </si>
  <si>
    <t>Exploring the Core Keywords of the Secondary School Home Economics Teacher Selection Test: A Mixed Method of Content and Text Network Analyses</t>
  </si>
  <si>
    <t>Park, Mi Jeong; Ju Han</t>
  </si>
  <si>
    <t>Ran-Sug Seo</t>
  </si>
  <si>
    <t>Brain, Digital, &amp; Learning</t>
  </si>
  <si>
    <t>뇌·AI기반교육연구소</t>
  </si>
  <si>
    <t>기본간호학회지</t>
  </si>
  <si>
    <t>기본간호학회</t>
  </si>
  <si>
    <t>한국간호교육학회지 30년간 논문 분석</t>
  </si>
  <si>
    <t>Analysis of papers published in The Journal of Korean Academic Society of Nursing Education over 30 Years</t>
  </si>
  <si>
    <t>Park, Seung Mi; Yu, SuJeong; Lim, Kyung Choon; Choi, Subin; Suh, Eunyoung</t>
  </si>
  <si>
    <t>대한가정학회지 연구 동향 및 공저자 네트워크 분석: 2010∼2022년 게재 논문을 중심으로</t>
  </si>
  <si>
    <t>Research Trends and Co-author Network Analysis of the Journal of the Korean Home Economics Association: Articles Published from 2010 to 2022</t>
  </si>
  <si>
    <t>Mi Jeong Park; Jung Hyun Chae; Han Ju</t>
  </si>
  <si>
    <t>키워드 네트워크 분석을 활용한 국내 전통춤 연구의 지식구조 탐색</t>
  </si>
  <si>
    <t>The Knowledge structure of domestic traditional dance research using keyword network analysis</t>
  </si>
  <si>
    <t>KIM HYE RYEON</t>
  </si>
  <si>
    <t>한국체육과학회지</t>
  </si>
  <si>
    <t>한국체육과학회</t>
  </si>
  <si>
    <t>Images of Nurses Appeared in Media Reports Before and After Outbreak of COVID-19: Text Network Analysis and Topic Modeling</t>
  </si>
  <si>
    <t>Park, Min Young; Jeong, Seok Hee; Kim Hee Sun; Eun Jee Lee</t>
  </si>
  <si>
    <t>Content Analysis of Patient Safety Incident Reports Using Text Mining: A Secondary Data Analysis</t>
  </si>
  <si>
    <t>Baek On-Jeon; Moon HoJin; Kim Hyosun; Sun-hwa Shin</t>
  </si>
  <si>
    <t>Korean Journal of Adult Nursing</t>
  </si>
  <si>
    <t>한국성인간호학회</t>
  </si>
  <si>
    <t>청소년 임신에 대한 연구 동향 분석: 텍스트 네트워크 분석과 토픽 모델링</t>
  </si>
  <si>
    <t>A study on research trends for pregnancy in adolescence: Focusing on text network analysis and topic modeling</t>
  </si>
  <si>
    <t>Park Seung Mi; EUNJU KWAK; HYE OK PARK; Hong, Jung Eun</t>
  </si>
  <si>
    <t>4차 산업시대의 스포츠 분야 트렌드 분석: 뉴스 토픽모델링 분석을 중심으로</t>
  </si>
  <si>
    <t>Sports Industry Trend Analysis in the Fourth Industrial Era : Focusing on news Topic Modeling Analysis</t>
  </si>
  <si>
    <t>LI GEN; Lee, Seong No</t>
  </si>
  <si>
    <t>SNA(Social Network Analysis)를 활용한 코로나19 전후의 가정과교육 유튜브 콘텐츠 변화 분석</t>
  </si>
  <si>
    <t>Social Network Analysis of Changes in YouTube Home Economics Education Content Before and After COVID-19</t>
  </si>
  <si>
    <t>심재영; Eun Kyung Kim; Eun Mi Ko; Hyoung Sun Kim; Park, Mi Jeong</t>
  </si>
  <si>
    <t>토픽모델링을 활용한 국내 간호조직문화 연구 동향 분석</t>
  </si>
  <si>
    <t>Exploring research trends in nursing organizational culture using topic modeling</t>
  </si>
  <si>
    <t>Park, Eun-Jun; Park, Chan Sook</t>
  </si>
  <si>
    <t>인공지능과 간호에 관한 언론보도 기사의 키워드 네트워크 분석 및 토픽 모델링</t>
  </si>
  <si>
    <t>Keyword Network Analysis and Topic Modeling of News Articles Related to Artificial Intelligence and Nursing</t>
  </si>
  <si>
    <t>Ha, Ju-Young; Park HyoJin</t>
  </si>
  <si>
    <t>의미연결망과 토픽모델링을 활용한 스마트 도시재생 연구동향 분석</t>
  </si>
  <si>
    <t>Oh, Se-Jin; Jeong, Yeon-Jun; Lee, Kyung-Hwan; Ko, Eun-Jeong</t>
  </si>
  <si>
    <t>도시재생</t>
  </si>
  <si>
    <t>(사) 한국도시재생학회</t>
  </si>
  <si>
    <t>한국사회체육학회</t>
  </si>
  <si>
    <t>Exploring Research Trend of Yoga Therapy Using Social Network Analysis</t>
  </si>
  <si>
    <t>Pand Ding; Kim, Kyung-Sik; Tianyu Li; Wang Yuan</t>
  </si>
  <si>
    <t>A systematic literature review on humanitarian logistics using network analysis and topic modeling</t>
  </si>
  <si>
    <t>Kim Jin Ju; Jang Hyunmi; Roh, Sae-Yeon</t>
  </si>
  <si>
    <t>The Asian Journal of Shipping and Logistics</t>
  </si>
  <si>
    <t>한국해운물류학회</t>
  </si>
  <si>
    <t>간호교육기관의 교육목적 및 교육목표에 대한 토픽 모델링</t>
  </si>
  <si>
    <t>Educational goals and objectives of nursing education programs: Topic modeling</t>
  </si>
  <si>
    <t>Park, Eun Jun; Jong Sun OK; Park Chan Sook</t>
  </si>
  <si>
    <t>대한체육회장의 신년사에 나타난 정권별 체육정책 이슈: 의미연결망 분석의 적용</t>
  </si>
  <si>
    <t>이지은; Park, Jae-Hyeon; Jiwun Yoon</t>
  </si>
  <si>
    <t>해양관광 방문지 네트워크의 구조적 특성 분석 -수산물 구매자를 중심으로-</t>
  </si>
  <si>
    <t>hajiyoung; Kim, Soo-Yeon; Lee Seung Hyun</t>
  </si>
  <si>
    <t>해양관광학연구</t>
  </si>
  <si>
    <t>한국해양관광학회</t>
  </si>
  <si>
    <t>A Study on Understanding Placeness and Immigrant-related Social Issues in Rural Areas and Determining the Overarching Characteristics</t>
  </si>
  <si>
    <t>KIM DU WON; Nam Jinvo; JUNG NAMSIK; 김진현</t>
  </si>
  <si>
    <t>인간식물환경학회지</t>
  </si>
  <si>
    <t>인간식물환경학회</t>
  </si>
  <si>
    <t>빅데이터 기반 메가 스포츠 이벤트 전후 생활 스포츠 트렌드 분석</t>
  </si>
  <si>
    <t>Analysis of Trends in Recreational Sports Before and After Mega Sports Events Using Big Data</t>
  </si>
  <si>
    <t>LEE JI YEON; Park Sung Je</t>
  </si>
  <si>
    <t>키워드 네트워크 분석을 활용한 제임스 조이스 텍스트 연구 동향 분석: 2003~2022년도까지 『제임스 조이스 저널』에 게재된 논문을 중심으로</t>
  </si>
  <si>
    <t>Lee YoungGyu; Choi, Jong-gab</t>
  </si>
  <si>
    <t>제임스조이스저널</t>
  </si>
  <si>
    <t>한국제임스조이스학회</t>
  </si>
  <si>
    <t>염증성 장질환 처방에 대한 네트워크 분석 - K-HERB 데이터베이스를 활용한 예비적 처방 탐색 -</t>
  </si>
  <si>
    <t>Jae-Yeon Lee; Yu-Gyeong Lee; Yeon-Hwa Lee; Seojung Ha; Bo-In Kwon</t>
  </si>
  <si>
    <t>대한예방한의학회지</t>
  </si>
  <si>
    <t>대한예방한의학회</t>
  </si>
  <si>
    <t>키워드 네트워크 분석을 통한 유아·아동 비만 및 신체활동 관련 국내 연구 동향 분석</t>
  </si>
  <si>
    <t>Analysis of trends in domestic research related to obesity and physical activity of infants and children through analysis of keyword networks</t>
  </si>
  <si>
    <t>Na-Young An; Eun-Jung Kim</t>
  </si>
  <si>
    <t>한국발육발달학회지</t>
  </si>
  <si>
    <t>한국발육발달학회</t>
  </si>
  <si>
    <t>Exploring Research Trends on Emotional Labor in Social Welfare Using Keyword Networks</t>
  </si>
  <si>
    <t>Han Suk Choi; Byun sang hae</t>
  </si>
  <si>
    <t>의과대학 학생들이 인식하는 의과대학 수업의 특성</t>
  </si>
  <si>
    <t>Characteristics of Medical School Classes Perceived by Medical Students</t>
  </si>
  <si>
    <t>Park, Kwi-Hwa; Yune, So-Jung</t>
  </si>
  <si>
    <t>인문사회 21</t>
  </si>
  <si>
    <t>텍스트 마이닝을 활용한 ‘정부지원 학자금대출제도’의 연구동향 분석</t>
  </si>
  <si>
    <t>A Study on the Research Trends in Government Student Loans Using Text Mining</t>
  </si>
  <si>
    <t>Kim, Donghwa; BAN, Jiyoon</t>
  </si>
  <si>
    <t>미래교육학연구</t>
  </si>
  <si>
    <t>텍스트 마이닝 기법을 활용한 누리과정 해설서 특성과 방향성 고찰:「3~5세 연령별 누리과정」과 「2019 개정 누리과정」분석</t>
  </si>
  <si>
    <t>A Study of the Characteristics and Direction of Nuri Curriculum Guidebook Using Text Mining Techniques: Analysis of「Nuri Curriculum for Age 3-5」and 「2019 Revised Nuri-Curriculum」</t>
  </si>
  <si>
    <t>Kim, Min-Jeong; Kim， Min-Young; Byungho lee</t>
  </si>
  <si>
    <t>텍스트 마이닝을 활용한 디지털 포용성(Digital Inclusion)의 국제 연구 동향 분석</t>
  </si>
  <si>
    <t>Beak Song Yi; Park， Kiwoong; Ko， Saron; Bokyung KYE</t>
  </si>
  <si>
    <t>교육문제연구</t>
  </si>
  <si>
    <t>교육문제연구소</t>
  </si>
  <si>
    <t>의사 쉐도잉 프로그램이 의과대학생의 전문직간 협력 준비도와 환자안전 태도에 미치는 영향</t>
  </si>
  <si>
    <t>Yune, So-Jung; Im Sunju; LEE, SANG YEOUP</t>
  </si>
  <si>
    <t>국내 장애 부모교육 연구의 키워드 네트워크 분석</t>
  </si>
  <si>
    <t>An Analysis of a Keyword Network of the Research Field on the Education for Parents of Children With Disabilities</t>
  </si>
  <si>
    <t>Choi, Misug; Jeon, Insu</t>
  </si>
  <si>
    <t>특수교육학연구</t>
  </si>
  <si>
    <t>한국특수교육학회</t>
  </si>
  <si>
    <t>여성 운동선수의 월경 특성과 스포츠 경기력</t>
  </si>
  <si>
    <t>Kumju Lee</t>
  </si>
  <si>
    <t>태권도 전자호구 제조업체에 따른 선수들의 인식비교</t>
  </si>
  <si>
    <t>Kyeong Hoon Park; Oh Hyeri</t>
  </si>
  <si>
    <t>한국레저사이언스학회지</t>
  </si>
  <si>
    <t>한국레저사이언스학회</t>
  </si>
  <si>
    <t>사회연결망 분석을 활용한 폐광지역 키워드 분석: 온라인 뉴스 기사와 댓글을 중심으로</t>
  </si>
  <si>
    <t>A Keyword Analysis of the Abandoned Mine Areas Using Social Network Analysis: Focusing on Online News Articles and User Comments</t>
  </si>
  <si>
    <t>Choi Yunseo; Seungkook Roh</t>
  </si>
  <si>
    <t>한국도시지리학회</t>
  </si>
  <si>
    <t>대인관계역량 증진 프로그램 적용에 따른 유아교사 관계 네트워크 분석</t>
  </si>
  <si>
    <t>Early childhood teacher relationship network analysis in accordance with the application of the interpersonal relation competency promotion program</t>
  </si>
  <si>
    <t>Chae Hye Kyoung</t>
  </si>
  <si>
    <t>언어네트워크분석을 통한 영재교육 연수경험과 영재학생 지도경험에 따른 교사의 영재 인식 비교</t>
  </si>
  <si>
    <t>Comparison of teachers' perceptions of the gifted according to the training experience and teaching experience of the gifted through language network analysis</t>
  </si>
  <si>
    <t>Eun Young Jeong; Miran Chun</t>
  </si>
  <si>
    <t>국내 가정폭력 연구 동향 분석: 주요 상담학회지를 중심으로(2011∼2020)</t>
  </si>
  <si>
    <t>Trend Analysis of Research on Domestic Violence in Korea: A Review of Main Counseling Journals(2011∼2020)</t>
  </si>
  <si>
    <t>yun-young  Baek; Ji-Seon HONG; Soon-Young KIM; Sung-Ji PARK</t>
  </si>
  <si>
    <t>상담심리교육복지</t>
  </si>
  <si>
    <t>한국상담심리교육복지학회</t>
  </si>
  <si>
    <t>토픽모델링과 키워드 네트워크 분석을 활용한 관리자 코칭리더십의 국내 연구 동향</t>
  </si>
  <si>
    <t>Kang, Jiwoon; Lee Hyoseop</t>
  </si>
  <si>
    <t>Andragogy Today: Interdisciplinary Journal of Adult &amp; Continuing Education (IJACE)</t>
  </si>
  <si>
    <t>한국성인교육학회</t>
  </si>
  <si>
    <t>사회 연결망 분석을 활용한 유아 신체활동 연구동향 분석</t>
  </si>
  <si>
    <t>Research Trends of Early Childhood Physical Activity by Using Social Network Analysis</t>
  </si>
  <si>
    <t>Park, Sunghae</t>
  </si>
  <si>
    <t>신문기사를 통해 본 조현병의 의미연결망 분석</t>
  </si>
  <si>
    <t>Hye-Jin Song; Suk-Sun Kim</t>
  </si>
  <si>
    <t>미디어 빅데이터를 활용한 운동선수 폭력에 관한 의미연결망 분석</t>
  </si>
  <si>
    <t>Analysis of Semantic Network of Athlete Violence Using Media Big Data</t>
  </si>
  <si>
    <t>Kwon, Sun-Sin; Kim, Kyung-Sik</t>
  </si>
  <si>
    <t>키워드 네트워크 분석을 활용한 자폐성장애연구의 지식구조 탐색</t>
  </si>
  <si>
    <t>Choi, Misug</t>
  </si>
  <si>
    <t>언어 네트워크 분석을 통한 대학생 대상 데이트폭력 연구 동향 분석</t>
  </si>
  <si>
    <t>Lim,yooha; Ha-Jin Lim; Young-Sun, Lee</t>
  </si>
  <si>
    <t>유치원 교사와 학부모의 ‘좋은 놀이’에 관한 인식 비교: 의미연결망 분석방법의 활용</t>
  </si>
  <si>
    <t>Lim, Ka-Hyeon; Sun-Ah, Lim</t>
  </si>
  <si>
    <t>미래유아교육학회지</t>
  </si>
  <si>
    <t>미래유아교육학회</t>
  </si>
  <si>
    <t>네트워크 분석 논문의 고찰: 계량서지적 분석과 내용분석을 중심으로</t>
  </si>
  <si>
    <t>Eunkyung Chung</t>
  </si>
  <si>
    <t>실버세대를 대상으로 한 유니버설 디자인 스포츠웨어의 선호도</t>
  </si>
  <si>
    <t>Universal Design Sportswear Preference for the Elderly</t>
  </si>
  <si>
    <t>Yoon-Soo Han; CHOI Jung-Hyun; Jiwun Yoon</t>
  </si>
  <si>
    <t>텍스트네트워크분석을 적용하여 탐색한 국내 시뮬레이션간호교육 연구주제 동향</t>
  </si>
  <si>
    <t>동서간호학연구지</t>
  </si>
  <si>
    <t>동서간호학연구소</t>
  </si>
  <si>
    <t>국내외 성취정서 연구의 지식네트워크 분석</t>
  </si>
  <si>
    <t>Knowledge Network Analysis of Domestic and Foreign Achievement Emotions Research</t>
  </si>
  <si>
    <t>KIM HAE SOOK; Song, Jaehong</t>
  </si>
  <si>
    <t>제주대학교 교육과학연구</t>
  </si>
  <si>
    <t>교육과학연구소</t>
  </si>
  <si>
    <t>태권도 전자호구 관련 뉴스 기사의 이슈: 토픽모델링과 의미연결망 분석의 적용</t>
  </si>
  <si>
    <t>Lee, Won-Jae; ChangHwan Choi</t>
  </si>
  <si>
    <t>언어 네트워크 분석을 활용한 과학과 교과 역량에 대한 중등예비교사의 인식 분석</t>
  </si>
  <si>
    <t>Taejin Byun; Sangwoo Ha</t>
  </si>
  <si>
    <t>키워드 네트워크 분석 및 토픽모델링을 활용한 대학생 정서 관련 연구동향 분석</t>
  </si>
  <si>
    <t>Eunjung, Kim; Kim, Jinsook</t>
  </si>
  <si>
    <t>키워드 네트워크 분석을 통해 본 ‘평화체제’ 연구동향</t>
  </si>
  <si>
    <t>A Research Trends of ‘Peace Regime’ by Using Keyword Network Analysis</t>
  </si>
  <si>
    <t>KIM EZRA; Eun Joo Park</t>
  </si>
  <si>
    <t>사회연결망 분석을 활용한 고용가능성 연구동향 분석: 국내학술지를 중심으로</t>
  </si>
  <si>
    <t>Sung Sesilia; Hong-In Jeong</t>
  </si>
  <si>
    <t>직업과 자격 연구</t>
  </si>
  <si>
    <t>(사)한국직업자격학회</t>
  </si>
  <si>
    <t>국내 문헌정보학 분야의 독서 연구 동향 분석</t>
  </si>
  <si>
    <t>Hyunsook Kim; Kang Bora</t>
  </si>
  <si>
    <t>한국도서관·정보학회지</t>
  </si>
  <si>
    <t>한국도서관·정보학회</t>
  </si>
  <si>
    <t>‘한국무용’ 장르의 연구동향</t>
  </si>
  <si>
    <t>Kim, Mi-Kyung</t>
  </si>
  <si>
    <t>한국무용연구</t>
  </si>
  <si>
    <t>한국무용연구학회</t>
  </si>
  <si>
    <t>간호대학생 관련 무례 행동의 연구동향 :텍스트네트워크분석 적용</t>
  </si>
  <si>
    <t>Park, Eun Jun; Park Chan Sook</t>
  </si>
  <si>
    <t>Kim, Kyung-Sik</t>
  </si>
  <si>
    <t>신문 기사에 나타난 유아 수학에 대한 인식연구: 토픽 모델링을 활용하여</t>
  </si>
  <si>
    <t>Jang, Young-Hoon; Kim, Youjung</t>
  </si>
  <si>
    <t>언어네트워크 분석을 활용한 소외계층 영재교육 연구동향 분석</t>
  </si>
  <si>
    <t>Analysis of Research Trends of disadvantaged Gifted Education Using Semantic Network Analysis</t>
  </si>
  <si>
    <t>eum yoon jae; Shin Dong Lee</t>
  </si>
  <si>
    <t>'한국무용' 장르 연구의 시계열적 동향분석</t>
  </si>
  <si>
    <t>Mi-Kyung Kim</t>
  </si>
  <si>
    <t>외국인 근로자 복지에 관한 연구 동향 키워드 네트워크 분석</t>
  </si>
  <si>
    <t>Sumin Kim</t>
  </si>
  <si>
    <t>비대면 온라인 대학전공 체조수업의 만족 요소 및 불만족 요소 간 네트워크</t>
  </si>
  <si>
    <t>SeungKu Nam; Jiwun Yoon</t>
  </si>
  <si>
    <t>국내 다문화교육 학술논문의 공저자 네트워크 분석</t>
  </si>
  <si>
    <t>지식 네트워크 분석을 활용한 패럴림픽 관련 국제 연구의 동향 분석</t>
  </si>
  <si>
    <t>MinChang Kim; Hong, Suk Man</t>
  </si>
  <si>
    <t>한국 PR연구의 지적 구조 탐색:『홍보학연구』와 『마케팅관리연구』 비교</t>
  </si>
  <si>
    <t>Kim, Do Hee; Bae Jiyang</t>
  </si>
  <si>
    <t>PR연구</t>
  </si>
  <si>
    <t>한국PR학회</t>
  </si>
  <si>
    <t>소셜네트워크분석을 적용한 미술관 이용행태 분석: 국립현대미술관을 중심으로</t>
  </si>
  <si>
    <t>Analysis of Museum Usage Behavior by Social Network Analysis : A study of National Museum of Modern and Contemporary Art, Korea -</t>
  </si>
  <si>
    <t>Seongsu Jang; Jung-hwan Lee</t>
  </si>
  <si>
    <t>뉴스에 나타난 여성스포츠선수 관련 이슈의 변화: 키워드네트워크 활용</t>
  </si>
  <si>
    <t>The Changes in Issues Related to Female Sports Players in The News: Application of Keyword Network Analysis</t>
  </si>
  <si>
    <t>Jo, Eunhye; Suyeon Kim; Kim Hyeoijin</t>
  </si>
  <si>
    <t>사회적 집단감염사태로 인한 운동선수의 변화 탐색: 코로나-19 중심으로</t>
  </si>
  <si>
    <t>MinSoo Jeon; Hyosung Lim; Dayoun Lim</t>
  </si>
  <si>
    <t>A Corpus Language Network Analysis of EnglishNear-synonym Adjectives</t>
  </si>
  <si>
    <t>키워드 네트워크 분석을 활용한 유아 또래유능성 관련 연구 분석</t>
  </si>
  <si>
    <t>Research Trends of Preschoolers’ Peer Competence using Keyword Network Analysis</t>
  </si>
  <si>
    <t>Lee, Seungha; Shin， Na-eun</t>
  </si>
  <si>
    <t>만1세와 만2세 학급 교사의 영아 또래 상호작용과 교사 지원에 대한 인식</t>
  </si>
  <si>
    <t>Han, Young Mi</t>
  </si>
  <si>
    <t>한국유아교육연구</t>
  </si>
  <si>
    <t>유아교육연구소</t>
  </si>
  <si>
    <t>키워드 네트워크 분석을 통한 아동문학 관련 연구동향 분석</t>
  </si>
  <si>
    <t>Yoo, Yung Eui; JangYunHo</t>
  </si>
  <si>
    <t>Dahye Jeong; Choi, Yu-hyun</t>
  </si>
  <si>
    <t>교과교육학연구</t>
  </si>
  <si>
    <t>교과교육연구소</t>
  </si>
  <si>
    <t>언어네트워크 분석을 활용한 대학교양교육의 연구동향 분석</t>
  </si>
  <si>
    <t>ji-min ko; Park, Hansaem</t>
  </si>
  <si>
    <t>키워드 네트워크 분석을 통한 『학습장애연구』 의 지식구조 탐구</t>
  </si>
  <si>
    <t>Exploring the Knowledge Structure of 『The Korea Journal of Learning Disabilities』 Using Keyword Network Analysis</t>
  </si>
  <si>
    <t>Ko, youngsil</t>
  </si>
  <si>
    <t>학습장애연구</t>
  </si>
  <si>
    <t>한국학습장애학회</t>
  </si>
  <si>
    <t>언어 네트워크 분석에 기반 한 가정과교육 연구 동향 분석: 2000-2019년 KCI 등재지를 중심으로</t>
  </si>
  <si>
    <t>Gham, Kyoung Won; Park, Mi Jeong</t>
  </si>
  <si>
    <t>기내공간 이미지에 관한 고객과 상호작용 연결망 연구: 대형항공사와 저비용 항공사의 차이를 중심으로</t>
  </si>
  <si>
    <t>Interaction network study with customers on in-flight space image: focusing on the difference between full service carrier and low cost carrier</t>
  </si>
  <si>
    <t>호텔관광연구</t>
  </si>
  <si>
    <t>한국호텔관광학회</t>
  </si>
  <si>
    <t>유튜브 빅데이터를 활용한 디지털 리터러시에 대한 소셜 네트워크 분석</t>
  </si>
  <si>
    <t>Kim, YoungHwan; Kim Wookyeong</t>
  </si>
  <si>
    <t>키워드 네트워크 분석을 활용한 국내 작업기억 연구동향 분석</t>
  </si>
  <si>
    <t>윤안순; Kim, Ahreum</t>
  </si>
  <si>
    <t>교육심리연구</t>
  </si>
  <si>
    <t>한국교육심리학회</t>
  </si>
  <si>
    <t>키워드 네트워크 분석을 활용한 『장신논단』의 신학적 정체성 탐색</t>
  </si>
  <si>
    <t>An Exploration of the Theological Identity of Korea Presbyterian Journal of Theology Using Keyword Network Analysis</t>
  </si>
  <si>
    <t>장신논단</t>
  </si>
  <si>
    <t>기독교사상과문화연구원</t>
  </si>
  <si>
    <t>텍스트마이닝 기법을 통한 작업치료 키워드 분석</t>
  </si>
  <si>
    <t>Jo, Eunju; Kam, Kyungyoon</t>
  </si>
  <si>
    <t>네트워크 분석을 활용한 국내 장애인 신체활동 연구의 지식구조 및 주요 키워드 탐색</t>
  </si>
  <si>
    <t>Exploring the Knowledge Structure and Keyword of Physical Activity Researches for the Disabled Using Network Theory Analysis</t>
  </si>
  <si>
    <t>MinChang Kim</t>
  </si>
  <si>
    <t>주도적/반응적 관계적 공격성이 또래관계에 미치는 영향: 초등학생의 학급비선호또래연결망을 중심으로</t>
  </si>
  <si>
    <t>Effects of proactive/reactive relational aggression on peer relationships:with a focus on the non-preferred peer networks of elementary school students</t>
  </si>
  <si>
    <t>Park, Soo jin; Park， Chang Yeol; Dong Hun Lee</t>
  </si>
  <si>
    <t>초등교육연구</t>
  </si>
  <si>
    <t>한국초등교육학회</t>
  </si>
  <si>
    <t>키워드 네트워크 분석을 통한 국내 북한 교육 연구 동향 분석</t>
  </si>
  <si>
    <t>Research trend analysis for North Korea Education Research using keyword network analysis</t>
  </si>
  <si>
    <t>블루칼라 및 연관직종 간 이동 패턴 분석: 현시연관성지수를 중심으로</t>
  </si>
  <si>
    <t>Choi, Su Jung; Gwiyoung Ko; Jisik, Min</t>
  </si>
  <si>
    <t>한국직업교육학회</t>
  </si>
  <si>
    <t>사회연결망 분석 방법을 통해 본 전기고령자와 후기고령자의 24시간 작업연결망 비교 연구</t>
  </si>
  <si>
    <t>Byoungjin Jeon; Park, Han-Gul; Oh, Jin-Seok</t>
  </si>
  <si>
    <t>의미연결망과 토픽모델링을 활용한 광고홍보학 분야의 CSR 연구동향 분석(2003~2020)</t>
  </si>
  <si>
    <t>A Study on the CSR Research Trends in the Academic Field of Advertising and Public Relations Using Semantic Network and Topic Modeling (2003-2020)</t>
  </si>
  <si>
    <t>Yoon Ji Kang; Kim Jaeyoung; Jihun Kang; Sanghoon Kim</t>
  </si>
  <si>
    <t>광고학연구</t>
  </si>
  <si>
    <t>한국광고학회</t>
  </si>
  <si>
    <t>미디어 빅데이터를 활용한 스포츠가치의 의미연결망 분석</t>
  </si>
  <si>
    <t>Social Network Analysis on Sport Values Using Media Big Data</t>
  </si>
  <si>
    <t>KangYoung Song; Kim， Kyung-Sik</t>
  </si>
  <si>
    <t>국내 상위랭킹 테니스선수들의 투어일기 분석: 키워드 네트워크 분석적용</t>
  </si>
  <si>
    <t>Hee-Seok Chung; Jeong-hoon Cha; Bo Ra Kwak</t>
  </si>
  <si>
    <t>유아?놀이 중심 개정 누리과정에 대한 사회적 인식 네트워크 분석</t>
  </si>
  <si>
    <t>Network Analysis on the Social Recognition of The Revised Nuri Curriculum Changed to Early Childhood Play Based</t>
  </si>
  <si>
    <t>Seo, Young-Suk; Han Ki Soon</t>
  </si>
  <si>
    <t>학생건강체력시스템(PAPS)에 대한 학생과 교육전문가의 인식: 텍스트 마이닝 활용</t>
  </si>
  <si>
    <t>조원익; ChangHwan Choi; Jo, Eunhye; Sang-Eun Oh</t>
  </si>
  <si>
    <t>채팅 진로상담 이용 청년의 상담내용 의미 구조 분석</t>
  </si>
  <si>
    <t>Seojung Lee; Jinchul Jeong</t>
  </si>
  <si>
    <t>취업진로연구</t>
  </si>
  <si>
    <t>한국취업진로학회</t>
  </si>
  <si>
    <t>체육학에서 노인 관련 연구의 동향 탐색 : 고령화 및 고령사회에 따른 키워드 네트워크 분석</t>
  </si>
  <si>
    <t>Sang-Eun Oh; Park, Jae-Hyeon; ChangHwan Choi</t>
  </si>
  <si>
    <t>Lee Ye-Seul; Jong-Hwa, PARK</t>
  </si>
  <si>
    <t>무용축제에 관한 국내 연구 동향</t>
  </si>
  <si>
    <t>Domestic Research Trends of Dance Festival</t>
  </si>
  <si>
    <t>Kim, Hyun-nam</t>
  </si>
  <si>
    <t>대한무용학회 논문집</t>
  </si>
  <si>
    <t>대한무용학회</t>
  </si>
  <si>
    <t>4차 산업혁명 기술수용을 통한 스포츠 일자리 정책제언</t>
  </si>
  <si>
    <t>Yu, Jae-Gu; Kim, Suk Kyu; Ha Jung Hee</t>
  </si>
  <si>
    <t>스포츠엔터테인먼트와 법</t>
  </si>
  <si>
    <t>한국스포츠엔터테인먼트법학회</t>
  </si>
  <si>
    <t>감정분석의 시각화를 통한 셰익스피어 4대 비극작품 주요 등장인물의 막간 감정 추이와 감정 관계 연구</t>
  </si>
  <si>
    <t>Se-Eun Jhang; Homin Park; Won-Moon Song; SooSang Lee; Jae-Hoon Kim</t>
  </si>
  <si>
    <t>토픽모델링을 활용한 한국구강보건과학회지의 연구동향 분석</t>
  </si>
  <si>
    <t>Analysis on the Research Trends of KOHS Journal Papers using Topic Modeling</t>
  </si>
  <si>
    <t>kim jung sool</t>
  </si>
  <si>
    <t>한국구강보건과학회지</t>
  </si>
  <si>
    <t>한국구강보건과학회</t>
  </si>
  <si>
    <t>해상풍력 주민수용성 텍스트 네트워크 분석: 군산 말도·명도·방축도를 중심으로</t>
  </si>
  <si>
    <t>네트워크 분석을 활용한 북한이탈주민 대상 한국어 교육 연구 동향 분석</t>
  </si>
  <si>
    <t>LeeAnyong</t>
  </si>
  <si>
    <t>Foreign Languages Education</t>
  </si>
  <si>
    <t>한국외국어교육학회</t>
  </si>
  <si>
    <t>사회관계망 분석을 활용한 방한 중?일 관광객 관광행동 패턴에 대한 연구</t>
  </si>
  <si>
    <t>A Study on Tourism Behavior Patterns of Tourists from China and Japan Using Social Network Analysis</t>
  </si>
  <si>
    <t>Lee, Gwan-Seob; Yu, Jong Pil; LEE HYUN JONG</t>
  </si>
  <si>
    <t>관광레저연구</t>
  </si>
  <si>
    <t>(사)한국관광레저학회</t>
  </si>
  <si>
    <t>Research Trends of Human Resources Management in Hotel Industry: Evidence from South Korea by Semantic Network Analysis</t>
  </si>
  <si>
    <t>Jue Wang; Amarjargal Dagvadorj; Hak-Seon Kim</t>
  </si>
  <si>
    <t>Culinary Science &amp; Hospitality Research</t>
  </si>
  <si>
    <t>(사)한국조리학회</t>
  </si>
  <si>
    <t>네트워크분석을 통한 바이오 및 합성 의약품 안전평가기술 국가연구개발 동향</t>
  </si>
  <si>
    <t>National Research and Development Trends related to Safety Evaluation Technology of Biologics and Chemical Synthetic Drug: A Network Analysis</t>
  </si>
  <si>
    <t>JANG SUK CHAN; LEE, SANG WON; Sun-Hong KwoN</t>
  </si>
  <si>
    <t>약 학 회 지</t>
  </si>
  <si>
    <t>대한약학회</t>
  </si>
  <si>
    <t>키워드 네트워크 분석을 통해 살펴본 초등학생이 인식하는 과학 학습 참여의 의미</t>
  </si>
  <si>
    <t>Lim, Heejun</t>
  </si>
  <si>
    <t>NetMiner를 활용한 도시재생사업 참여주체의 시기별 소셜 네트워크 변화 특성 분석 : 순천시 원도심 도시재생선도지역을 중심으로</t>
  </si>
  <si>
    <t>Analysis of Social Network Change Characteristics of Participants in Urban Regeneration Project Using NetMiner : Focused on the Urban Regeneration Leading Area in Suncheon-City</t>
  </si>
  <si>
    <t>Eojin Gim; Koo, Ja-Hoon</t>
  </si>
  <si>
    <t>한국IT서비스학회지</t>
  </si>
  <si>
    <t>한국IT서비스학회</t>
  </si>
  <si>
    <t>사회연결망분석을 적용한 암 환자의 건강 관련 삶의 질 연구</t>
  </si>
  <si>
    <t>Hyun su Lee; Kim Kyung Hee</t>
  </si>
  <si>
    <t>Asian Oncology Nursing</t>
  </si>
  <si>
    <t>대한종양간호학회</t>
  </si>
  <si>
    <t>Analysis of Issues in Dentistry Using Topic Modeling</t>
  </si>
  <si>
    <t>텍스트 네트워크 분석을 활용한 대학 교양영어 연구주제 분석</t>
  </si>
  <si>
    <t>멀티미디어 언어교육</t>
  </si>
  <si>
    <t>한국멀티미디어언어교육학회</t>
  </si>
  <si>
    <t>텍스트마이닝을 통한 노인장기요양보험 키워드 네트워크 분석</t>
  </si>
  <si>
    <t>Keyword Network Analysis on Long Term Care Insurance Using Text Mining</t>
  </si>
  <si>
    <t>Seo, Jong Geun; CHUNG MO Nam; Tae Hyun Kim; Sohee Park</t>
  </si>
  <si>
    <t>보건정보통계학회지</t>
  </si>
  <si>
    <t>한국보건정보통계학회</t>
  </si>
  <si>
    <t>의미연결망 분석을 통한 국내 학교 급식 관련 학술지 연구동향 분석</t>
  </si>
  <si>
    <t>Amarjargal Dagvadorj; Joo Ahn; Hak-Seon Kim</t>
  </si>
  <si>
    <t>Research trends related to childhood and adolescent cancer survivors in South Korea using word co-occurrence network analysis</t>
  </si>
  <si>
    <t>Kyung-Ah Kang; Suk Jung Han; Jiyoung Chun; Hyun-Yong Kim</t>
  </si>
  <si>
    <t>토픽모델링 분석에 의한 글로벌 그린뉴딜 연구동향 분석</t>
  </si>
  <si>
    <t>Research Trends on the Global Green New Deal with a Topic Modeling Approach</t>
  </si>
  <si>
    <t>Jaeho Yoo; Jo, Yeon Hee; Jeon, Eui-Chan</t>
  </si>
  <si>
    <t>한국기후변화학회지</t>
  </si>
  <si>
    <t>한국기후변화학회</t>
  </si>
  <si>
    <t>토픽 모델링과 의미연결망 분석을 통한 빅데이터 연구동향 분석</t>
  </si>
  <si>
    <t>kwonhyejin; Hak-Seon Kim</t>
  </si>
  <si>
    <t>키워드 네트워크 분석을 활용한 영어교육관련 연구 동향 분석: 2000-2019년도까지 「영어교육연구」에 게재된 논문을 중심으로</t>
  </si>
  <si>
    <t>Yousun Shin; Kim, Yanghee</t>
  </si>
  <si>
    <t>언어 네트워크 분석을 통한 국내 수학교육 연구 동향 분석</t>
  </si>
  <si>
    <t>Myeong-Seon Yeom; Bon-Hyung Gu; Ga-Hyeon Lim; Kwang-Ho Lee</t>
  </si>
  <si>
    <t>시뮬레이션 간호교육에서 간호대학생의 상호작용특징, 수업몰입, 의사소통능력 및 문제해결능력의 관계: 사회연결망 분석을 중심으로</t>
  </si>
  <si>
    <t>Relationship between Social Network Characteristics, Flow in Class, Communication Skills, and Problem-solving Skills of Nursing Students in Simulation Nursing Education: Focusing on Social Network Analysis</t>
  </si>
  <si>
    <t>Seo, Hyung-eun; Ji Eun Joo</t>
  </si>
  <si>
    <t>사회연결망 분석을 통한 남자대학배구선수의 스트레스 요인 탐색</t>
  </si>
  <si>
    <t>Exploring Stress Factors of Male College Volleyball Players through Social Network Analysis</t>
  </si>
  <si>
    <t>Kim Yeon; Kim， Chan-Ho; Jeonghyung Cho</t>
  </si>
  <si>
    <t>텍스트 마이닝을 활용한 어린이집교사 온라인 상담의 내용분석</t>
  </si>
  <si>
    <t>Ji Won Jeon; Sun-Ah, Lim; Yunhee Jung</t>
  </si>
  <si>
    <t>한국보육지원학회지</t>
  </si>
  <si>
    <t>한국보육지원학회</t>
  </si>
  <si>
    <t>LDA 기반 토픽 모델링과 이원모드 네트워크 분석을 활용한‘Culinary Science &amp; Hospitality Research’ 연구추이동향 분석</t>
  </si>
  <si>
    <t>국내 다문화 청소년의 사회적 건강결정요인: 통합적 문헌고찰(2018~2020)</t>
  </si>
  <si>
    <t>Social Determinants of Health of Multicultural Adolescents in South Korea: An Integrated Literature Review (2018~2020)</t>
  </si>
  <si>
    <t>Youlim Kim; HYEONKYEONG LEE; Hyeyeon Lee; Mikyung Lee; Sookyung Kim; Kennedy Diema Konlan</t>
  </si>
  <si>
    <t>Social Network Analysis of Research Keywords on the Leisure Industry in Korea</t>
  </si>
  <si>
    <t>Kyungsik Kim; Han Seungback; Han Seungjin; Kang Taehee</t>
  </si>
  <si>
    <t>Analysis of Dental Language Network in News Articles Using News Big Data</t>
  </si>
  <si>
    <t>A Comparative Study of Social Network Tools for Analysing Chinese Elites</t>
  </si>
  <si>
    <t>Lee Hee Jeong; Kim, In</t>
  </si>
  <si>
    <t>KSII Transactions on Internet and Information Systems</t>
  </si>
  <si>
    <t>유튜브를 통한 약투 운동의 이슈 네트워크 분석</t>
  </si>
  <si>
    <t>Network Analysis on the Issues of Steroid Usage Exposure through YouTube</t>
  </si>
  <si>
    <t>유튜브를 활용한 코로나 시대의 운동 이슈 의미연결망 분석</t>
  </si>
  <si>
    <t>빅데이터를 활용한 여가산업 인식 분석</t>
  </si>
  <si>
    <t>Kim， Kyung-Sik; Lee， Yeon-Ju; Han, Seung-Jin; Han Seung-Baek</t>
  </si>
  <si>
    <t>한국여가레크리에이션학회지</t>
  </si>
  <si>
    <t>한국여가레크리에이션학회</t>
  </si>
  <si>
    <t>Exploring the Trend of Ski Using Social Network Analysis: International Journal Analysis</t>
  </si>
  <si>
    <t>Zhang Mingliang; Kyungsik Kim</t>
  </si>
  <si>
    <t>토픽모델링 기법을 활용한 녹색성장 정책 변화 분석</t>
  </si>
  <si>
    <t>Analysis of Green Growth Policy Change with The Topic Modeling Method</t>
  </si>
  <si>
    <t>Jaeho Yoo; Hana Kim; Jeon, Eui-Chan</t>
  </si>
  <si>
    <t>빅데이터를 활용한 주5일제 및 주52시간제 시행전후 여가 인식 분석</t>
  </si>
  <si>
    <t>Analysis of Leisure Awareness Before and After 5-Day and 52-Hour Work Week Using Big Data</t>
  </si>
  <si>
    <t>농지개혁 실시에 따른 사립대학 팽창에 관한 심층 분석</t>
  </si>
  <si>
    <t>LEE JEONG RAG; Ho-woong Yoo; jae - hoon,  jung; LEE, YUN-KYOUNG</t>
  </si>
  <si>
    <t>사회적경제와 정책연구</t>
  </si>
  <si>
    <t>AI 행정공학연구소</t>
  </si>
  <si>
    <t>토픽모델링을 활용한 학교도서관 연구동향 분석</t>
  </si>
  <si>
    <t>Young-Joo Jung; Hea-Jin Kim</t>
  </si>
  <si>
    <t>토픽모델링을 활용한 학생선수 학업-운동 병행 연구 동향 분석</t>
  </si>
  <si>
    <t>An analysis of the research trend on the combination of study and exercise of student-athlete using Topic Modeling</t>
  </si>
  <si>
    <t>Yoon, Keejoon; Jung, Hyunwoo</t>
  </si>
  <si>
    <t>홀리스틱융합교육연구</t>
  </si>
  <si>
    <t>한국홀리스틱융합교육학회</t>
  </si>
  <si>
    <t>텍스트마이닝과 토픽모델링을 활용한 표현예술치료 분야의 연구 동향 분석(1999-2020)</t>
  </si>
  <si>
    <t>A Study on the Research Trends of Expressive Arts Therapy Using Text Mining and Topic Modeling(1999-2020)</t>
  </si>
  <si>
    <t>Choi Eun-Jung</t>
  </si>
  <si>
    <t>사회연결망분석 기법을 활용한 유니크베뉴 정보탐색 텍스트의 변화분석</t>
  </si>
  <si>
    <t>Gyeong-Bin Bae; Kim, Hyun-Ji</t>
  </si>
  <si>
    <t>무역전시연구</t>
  </si>
  <si>
    <t>한국무역전시학회</t>
  </si>
  <si>
    <t>데이터 기반의 스마트 환경교육을 위한 교사연수 프로그램의 효과 분석</t>
  </si>
  <si>
    <t>Jina, Yoon; LeeDongYoung; Cho, Woon-Seok; 남윤경</t>
  </si>
  <si>
    <t>미디어 빅데이터를 활용한 무용 인식 분석</t>
  </si>
  <si>
    <t>Analysis of an Awareness of Dance Using Media Big Data</t>
  </si>
  <si>
    <t>Bo Ram Hyun</t>
  </si>
  <si>
    <t>NetMiner: Identifying Failure-Inducing Patterns in the Logs Generated by Network Monitoring Software</t>
  </si>
  <si>
    <t>G. Sathi; Lokesh Vedullapalli; Macharla Hemanth Kishan; Tarannum Shaila Zaman; Md Tariqul Islam; Mahmoud M. Badr</t>
  </si>
  <si>
    <t>Jonathan Morashti; Youra An; Hyunmi Jang</t>
  </si>
  <si>
    <t>Sustainability</t>
  </si>
  <si>
    <t>Yoonseo Park; Sewon Park; Munjae Lee</t>
  </si>
  <si>
    <t>Journal of Medical Internet Research</t>
  </si>
  <si>
    <t>e37622</t>
  </si>
  <si>
    <t>Graph Tools for Social Network Analysis</t>
  </si>
  <si>
    <t>Nadeem Akhtar; Mohd Vasim Ahamad</t>
  </si>
  <si>
    <t>IGI Global eBooks</t>
  </si>
  <si>
    <t>Jangwan Ko; Seungsu Paek; Seoyoon Park; Jiwoo Park</t>
  </si>
  <si>
    <t>Young-Jon Kim; Jea Woog Lee; Sojung Yune</t>
  </si>
  <si>
    <t>Korean Medical Education Review</t>
  </si>
  <si>
    <t>Identifying the Knowledge Structure and Trends of Outreach in Public Health Care: A Text Network Analysis and Topic Modeling</t>
  </si>
  <si>
    <t>Sooyeon Park; Jin Kyung Park</t>
  </si>
  <si>
    <t>International Journal of Environmental Research and Public Health</t>
  </si>
  <si>
    <t>Network Specification Mining with High Fidelity and Scalability</t>
  </si>
  <si>
    <t>Ning Kang; Peng Zhang; Hao Li; Sisi Wen; Chaoyang Ji; Yongqiang Yang</t>
  </si>
  <si>
    <t>ALIGNMENT OF CONCEPTS OF MEIOSIS AMONG CURRICULUM, TEXTBOOKS, CLASSROOM TEACHING AND ASSESSMENT IN UPPER SECONDARY SCHOOL IN REPUBLIC OF KOREA</t>
  </si>
  <si>
    <t>Youngshin Kim; Yun-hye Lee; Hyonyong Lee; Soo-min Lim</t>
  </si>
  <si>
    <t>Journal of Baltic Science Education</t>
  </si>
  <si>
    <t>The Impact of Social Network Characteristics on Health among Community-Dwelling Older Adults in Korea: Application of Social Network Analysis</t>
  </si>
  <si>
    <t>Byoung?Jin Jeon; Kang-Hyun Park</t>
  </si>
  <si>
    <t>Medication safety education in nursing research: Text network analysis and topic modeling</t>
  </si>
  <si>
    <t>Jinkyung Park; A Young Han</t>
  </si>
  <si>
    <t>Nurse Education Today</t>
  </si>
  <si>
    <t>Capturing New Nurses' Experiences and Supporting Critical Thinking</t>
  </si>
  <si>
    <t>Sun Hee Seon; Hye Won Jeong; Deok Ju; Jung A. Lee; Shinhye Ahn</t>
  </si>
  <si>
    <t>CIN Computers Informatics Nursing</t>
  </si>
  <si>
    <t>Guangdong Wu; Yan Zhu; Zhibin Hu</t>
  </si>
  <si>
    <t>International Journal of Conflict Management</t>
  </si>
  <si>
    <t>Research trend analysis of Korean new graduate nurses using topic modeling</t>
  </si>
  <si>
    <t>Seungmi Park; Jung Lim Lee</t>
  </si>
  <si>
    <t>The Journal of Korean Academic Society of Nursing Education</t>
  </si>
  <si>
    <t>The South Korea Halloween Crush in CNN News: A NetMiner Analysis</t>
  </si>
  <si>
    <t>Nam-Kil Kang</t>
  </si>
  <si>
    <t>Advances in Social Sciences Research Journal</t>
  </si>
  <si>
    <t>Youlim Kim; Hyeonkyeong Lee; Hyeyeon Lee; Mikyung Lee; Sookyung Kim; Kennedy Diema Konlan</t>
  </si>
  <si>
    <t>Research in Community and Public Health Nursing</t>
  </si>
  <si>
    <t>Jong-Geun Seo; Chung Mo Nam; Tae Hyun Kim; Sohee Park</t>
  </si>
  <si>
    <t>Chan Sook Park</t>
  </si>
  <si>
    <t>Korean Journal of Medical Ethics</t>
  </si>
  <si>
    <t>Leveraging Digital Forensics in the Age of Smart Grids: A Survey of Tools and Techniques for Securing Electrical Power Systems</t>
  </si>
  <si>
    <t>Daniel Madan Raja S</t>
  </si>
  <si>
    <t>Journal of Electrical Systems</t>
  </si>
  <si>
    <t>Jae-Young Shim; Eun Kyung Kim; Eun Mi Ko; Hyoung Sun Kim; Mi Jeong Park</t>
  </si>
  <si>
    <t>Family and environment research</t>
  </si>
  <si>
    <t>Soo Jung Chang; Sunah Park; Yedong Son</t>
  </si>
  <si>
    <t>Optimizing the portfolio of road project stakeholders with cost and risk approach</t>
  </si>
  <si>
    <t>Mohammadhossein Dadpour; Eghbal Shakeri; Ahad Nazari; Fereidoon Moghadas Nejad</t>
  </si>
  <si>
    <t>International Journal of Construction Management</t>
  </si>
  <si>
    <t>Eun?Jun Park; Jong Sun Ok; Chan Sook Park</t>
  </si>
  <si>
    <t>Content Analysis of Feedback Journals for New Nurses From Preceptor Nurses Using Text Network Analysis</t>
  </si>
  <si>
    <t>Shinhye Ahn; Hye Won Jeong</t>
  </si>
  <si>
    <t>Text network analysis of research topics and trends on global health nursing literature from 1974 ?2017</t>
  </si>
  <si>
    <t>Hye Sun Hong; Soo?Kyoung Lee</t>
  </si>
  <si>
    <t>Journal of Advanced Nursing</t>
  </si>
  <si>
    <t>Text Network Analysis of Research Topics and Trends on Simulations Using Virtual Patients in Nursing Education</t>
  </si>
  <si>
    <t>Mi Ok Song; Jeong Eun Moon; Aeri Jang</t>
  </si>
  <si>
    <t>The Korean Society of Special Education; Misug Choi; Insu Jeon</t>
  </si>
  <si>
    <t>Korean Journal of Special Education</t>
  </si>
  <si>
    <t>Trends of fear and anger on YouTube during the initial stage of the COVID-19 outbreak in South Korea</t>
  </si>
  <si>
    <t>Jae-Joon Lee; Jongwoo Kim; Soo?Kyoung Lee</t>
  </si>
  <si>
    <t>BMC Public Health</t>
  </si>
  <si>
    <t>Heyri Oh; Minsoo Jeon; Chin Seungtae; Hyosung Lim</t>
  </si>
  <si>
    <t>Annals of Applied Sport Science</t>
  </si>
  <si>
    <t>Shifting Conversations on Online Distance Education in South Korean Society During the COVID-19 Pandemic: A Topic Modeling Analysis of News Articles</t>
  </si>
  <si>
    <t>Kyungmee Lee; Taejong Kim; Berrin Cefa; Aras Bozkurt</t>
  </si>
  <si>
    <t>The International Review of Research in Open and Distributed Learning</t>
  </si>
  <si>
    <t>Analysis of Research Trends in Home Economics Education by Language Network Analysis: Focused on the KCI Journals (2000-2019)</t>
  </si>
  <si>
    <t>Kyoung Won Gham; Ju Hee Park</t>
  </si>
  <si>
    <t>Korean Home Economics Education Assciation</t>
  </si>
  <si>
    <t>Subin Park; Yeji Kim; Gi?Sang Bae; Cheol-Hyun Kim; Inae Youn; Jungtae Leem; Hongmin Chu</t>
  </si>
  <si>
    <t>The Journal of Internal Korean Medicine</t>
  </si>
  <si>
    <t>The Korean Society of Music Education Technology</t>
  </si>
  <si>
    <t>The dynamics of value propositions through social media engagement in maritime transport networks: Maersk vs Mediterranean Shipping Company</t>
  </si>
  <si>
    <t>Enrico D’agostini</t>
  </si>
  <si>
    <t>Maritime Business Review</t>
  </si>
  <si>
    <t>Eo-Jin Gim; Ja-Hoon Koo</t>
  </si>
  <si>
    <t>Journal of the Korea society of IT services</t>
  </si>
  <si>
    <t>Ju-Young Ha; Hyo-Jin Park</t>
  </si>
  <si>
    <t>NetMiner瑜??쒖슜???꾩떆?ъ깮?ъ뾽 李몄뿬二쇱껜???쒓린蹂??뚯뀥 ?ㅽ듃?뚰겕 蹂???뱀꽦 遺꾩꽍</t>
  </si>
  <si>
    <t>源 댁쭊; EojinGim; JahoonKoo</t>
  </si>
  <si>
    <t>Information technology newsletter</t>
  </si>
  <si>
    <t>스위스 유럽대학원 표현예술치료학 박사과정 수료; Eun-Jung Choi</t>
  </si>
  <si>
    <t>Journal of Arts Psychotherapy</t>
  </si>
  <si>
    <t>Sun-Sin Kwon; Kyung Sik Kim</t>
  </si>
  <si>
    <t>Han'gug che'yug hag'hoeji. Inmun sa'hoe gwa'hag'pyeon/Hanguk cheyuk hakoeji</t>
  </si>
  <si>
    <t>Jae-Ho Yoo; Yeon Hee Jo; Eui-Chan Jeon</t>
  </si>
  <si>
    <t>Journal of Climate Change Research</t>
  </si>
  <si>
    <t>인하대학교 미디어커뮤니케이션학과 박사과정; Yoon Ji Kang; Jae-Young Kim; Jihun Kang; Sang-Hoon Kim</t>
  </si>
  <si>
    <t>Gwanggohak yeon-gu/Gwang'gohag yeon'gu</t>
  </si>
  <si>
    <t>Eun?Jun Park; Chan Sook Park</t>
  </si>
  <si>
    <t>A Study on Research Trends and Knowledge System in Cultural Contents Studies Using Topic Modeling and Text Network Analysis Based on Big Data</t>
  </si>
  <si>
    <t>Jung-Shim Oh</t>
  </si>
  <si>
    <t>The Journal of Cultural Policy</t>
  </si>
  <si>
    <t>Eunhye Jo; Suyeon Kim; Hyeoi Jin Kim</t>
  </si>
  <si>
    <t>Sports Science</t>
  </si>
  <si>
    <t>Hyunjung Ko; Seok Hee Jeong; Eun Jee Lee; Hee Sun Kim</t>
  </si>
  <si>
    <t>Seungmi Park; SuJeong Yu; Kyung-Choon Lim; Subin Choi; Eunyoung E. Suh</t>
  </si>
  <si>
    <t>Analysis of Semantic Network of Leisure Before and After Covid-19 Using Media Big Data</t>
  </si>
  <si>
    <t>Kyung Sik Kim</t>
  </si>
  <si>
    <t>Mi Jeong Park; Ju Hyoung Han</t>
  </si>
  <si>
    <t>An Overview of Cognitive Reserve in Aging Based on Keyword Network Analysis</t>
  </si>
  <si>
    <t>Jihyun Kim; Mi So Kim</t>
  </si>
  <si>
    <t>INQUIRY The Journal of Health Care Organization Provision and Financing</t>
  </si>
  <si>
    <t>Jae-Ho Yoo; Hana Kim; Eui-Chan Jeon</t>
  </si>
  <si>
    <t>Yunseo Choi; Seungkook Roh</t>
  </si>
  <si>
    <t>Journal of the Korean Urban Geographical Society</t>
  </si>
  <si>
    <t>Dong-Hwa Kim; Jiyoon Ban</t>
  </si>
  <si>
    <t>The Institute for Educational Research</t>
  </si>
  <si>
    <t>Mi Jeong Park; Han Ju</t>
  </si>
  <si>
    <t>Korean Association For Learner-Centered Curriculum And Instruction</t>
  </si>
  <si>
    <t>Exploring the Changes of Athletes in the Social Group Infection : Focused on COVID-19</t>
  </si>
  <si>
    <t>한국체육대학교, 강사; Minsoo Jeon; Hyosung Lim; Dayoun Lim</t>
  </si>
  <si>
    <t>The Korea Journal of Sport</t>
  </si>
  <si>
    <t>Jung-Sool Kim</t>
  </si>
  <si>
    <t>The Korean Society of Oral Health Science</t>
  </si>
  <si>
    <t>Jin-Hee Lim; Su?Han Woo</t>
  </si>
  <si>
    <t>The Korean Logistics Research Association</t>
  </si>
  <si>
    <t>Seungmi Park; Eunju Kwak; Hye Ok Park; Jung Eun Hong</t>
  </si>
  <si>
    <t>An Analysis of Research Trends Based on the Keywords of Korean Elite Taekwondo Athletes : Application of Keyword Network Analysis</t>
  </si>
  <si>
    <t>상명대학교, 감독; Yun-Ho Kim</t>
  </si>
  <si>
    <t>Keunyoung Lee; Boomin Jung</t>
  </si>
  <si>
    <t>Korea open association for early childhood education</t>
  </si>
  <si>
    <t>Sunghae Park</t>
  </si>
  <si>
    <t>Min-chang Kim</t>
  </si>
  <si>
    <t>Min-Jun Kuk; Dae?Won Park</t>
  </si>
  <si>
    <t>Korean Journal of Teacher Education</t>
  </si>
  <si>
    <t>Yeon Kim; Chan-Ho Kim; Jeong-Hyung Cho</t>
  </si>
  <si>
    <t>Korean Journal of Sports Science</t>
  </si>
  <si>
    <t>삼육대학교대학원 보건학과 박사과정생; Tae Hoon Yoon; Aeree Sohn</t>
  </si>
  <si>
    <t>The J of Korean Alcohol Science</t>
  </si>
  <si>
    <t>국립목포대학교 조경학과 강사, 조경학석사; Du-Won Kim; Jinvo Nam</t>
  </si>
  <si>
    <t>Journal of the Korean Institute of Rural Architecture</t>
  </si>
  <si>
    <t>Analyzing Demand for Customized Obesity Prevention and Management Across Adult Age Groups Using Focus Group Interview</t>
  </si>
  <si>
    <t>Jinah Park; Shinaeh Park; Mi So Kim</t>
  </si>
  <si>
    <t>Comparison of the Perception of 'Good Play' by Preschool Teachers and Parents: Using the Semantic Network Analysis Method</t>
  </si>
  <si>
    <t>Ka-Hyeon Lim; Sun Ah Lim</t>
  </si>
  <si>
    <t>The Journal of Future Early Childhood Education</t>
  </si>
  <si>
    <t>Sung-Hee Jin; Hye-Kyung Kim</t>
  </si>
  <si>
    <t>Korean Educational Research Association</t>
  </si>
  <si>
    <t>Eun?Young Kwon; Kyeongmin Woo</t>
  </si>
  <si>
    <t>The English Teachers Association in Korea</t>
  </si>
  <si>
    <t>K-POP in BBC News: A Big Data Analysis</t>
  </si>
  <si>
    <t>Namkil Kang</t>
  </si>
  <si>
    <t>Seung-Ha Lee; Na-Eun Shin</t>
  </si>
  <si>
    <t>Early Childhood Education Research &amp; Review</t>
  </si>
  <si>
    <t>Analysis of research trends related to media literacy</t>
  </si>
  <si>
    <t>So Young Jang; Kyung Yee Kim</t>
  </si>
  <si>
    <t>Song Kang-Young; Kim Kyung-Sik</t>
  </si>
  <si>
    <t>Korean Journal of Security Convergence Management</t>
  </si>
  <si>
    <t>Analysis of Research Trends on Healthy Families Using LDA Topic Modeling : Focusing on the Periods of the 1st to 4th Basic Plans for Healthy Families</t>
  </si>
  <si>
    <t>한국방송통신대학교 생활과학부 부교수; Hyunah Lee; Soombum Kwon</t>
  </si>
  <si>
    <t>Journal of Korean Family Resource Management Association</t>
  </si>
  <si>
    <t>GEN LI; Seong-No Lee</t>
  </si>
  <si>
    <t>A Study on the Research Trends of Employability Using Social Network Analysis : Focused on domestic research</t>
  </si>
  <si>
    <t>고려대학교 박사수료; Sung Sesilia; Hong In Jeong</t>
  </si>
  <si>
    <t>Journal of Skills and Qualifications</t>
  </si>
  <si>
    <t>Analysis of Research Trends on The Physical Activity Promotion System(PAPS) in Korea using Keywords Network Analysis</t>
  </si>
  <si>
    <t>Eunhye Jo; Yeongtak Choi; Hyeoi jin Kim</t>
  </si>
  <si>
    <t>Journal of Sport and Leisure Studies</t>
  </si>
  <si>
    <t>Yujin Kim; Hyeonji Cho; Meejung Chin</t>
  </si>
  <si>
    <t>Journal of Families and Better Life</t>
  </si>
  <si>
    <t>Research Trends and Correlation Analysis of Technological Innovation and Absorptive Capacity</t>
  </si>
  <si>
    <t>Eun-Mi Park Et.al</t>
  </si>
  <si>
    <t>T?rk bilgisayar ve matematik e?itimi dergisi</t>
  </si>
  <si>
    <t>Network Specification Mining With High Fidelity, Scalability, and Readability</t>
  </si>
  <si>
    <t>Research Trends of Lifestyle Intervention for Women With Obesity: A Text Network Analysis</t>
  </si>
  <si>
    <t>Sook Kyoung Park; Ju?Hee Nho</t>
  </si>
  <si>
    <t>Journal of Lifestyle Medicine</t>
  </si>
  <si>
    <t>The So-called Corpus in Big Data</t>
  </si>
  <si>
    <t>Zenodo (CERN European Organization for Nuclear Research)</t>
  </si>
  <si>
    <t>Analysis of football research trends using text network analysis</t>
  </si>
  <si>
    <t>Jongwon Kim</t>
  </si>
  <si>
    <t>PLoS ONE</t>
  </si>
  <si>
    <t>e0299782</t>
  </si>
  <si>
    <t>Analyzing research trends after the international journal transition of the &amp;lt;i&amp;gt;Korean Journal of Medical Education&amp;lt;/i&amp;gt;: using topic modeling techniques</t>
  </si>
  <si>
    <t>So Jung Yune; Kwi Hwa Park</t>
  </si>
  <si>
    <t>Korean journal of medical education</t>
  </si>
  <si>
    <t>Research Topic Trends on Turnover Intention among Korean Registered Nurses: An Analysis Using Topic Modeling</t>
  </si>
  <si>
    <t>Jung Lim Lee; Youngji Kim</t>
  </si>
  <si>
    <t>Healthcare</t>
  </si>
  <si>
    <t>Voice of Customer Analysis of Nursing Care in a Tertiary Hospital: Text Network Analysis and Topic Modeling</t>
  </si>
  <si>
    <t>Hyunjung Ko; Na?Ra Han; Seul?Ki Jeong; Jeong A Jeong; Hye Ryoung Yun; Eun Sil Kim; Young Jun Jang; Eun Ju Choi; Chun Hoe Lim; Min Hee Jung; Jung Hee Kim; Dong Hyu Cho; Seok Hee Jeong</t>
  </si>
  <si>
    <t>Journal of Korean Academy of Nursing Administration</t>
  </si>
  <si>
    <t>Hyun Nam Kim</t>
  </si>
  <si>
    <t>Dance Research Journal of Dance</t>
  </si>
  <si>
    <t>Koreanisch-Deutsche Gesellschaft Fuer Erziehungswissenschaft; Jeong-Sook Lee; Yun Hee Jung</t>
  </si>
  <si>
    <t>Koreanisch-Deutsche Gesellschaft Fuer Erziehungswissenschaft</t>
  </si>
  <si>
    <t>Yihyun Kim; Insoo Oh; Jiyoon Ban</t>
  </si>
  <si>
    <t>Educational Research Institute</t>
  </si>
  <si>
    <t>Kwihwa Park; Yune Sojung</t>
  </si>
  <si>
    <t>The Journal of Humanities and Social sciences 21</t>
  </si>
  <si>
    <t>Na yoon Kim; Chang Sug Park</t>
  </si>
  <si>
    <t>Korean Society of Hazard Mitigation</t>
  </si>
  <si>
    <t>The Future of Lifelong Learning Based on a Keyword Mining Technique from the Cases of South Korea and Taiwan</t>
  </si>
  <si>
    <t>Hae Na Kim; Ya-li Wu</t>
  </si>
  <si>
    <t>Na Mi Kim; Seok-bong Kim; Ji Hyun Kim</t>
  </si>
  <si>
    <t>Theological Research Institute of Sahmyook University</t>
  </si>
  <si>
    <t>Effects of Physician Shadowing Program on Medical Students’Interprofessional Collaboration Readiness and Patient Safety Attitude</t>
  </si>
  <si>
    <t>Sojung Yune; Sun Ju Im; Sang Yeoup Lee</t>
  </si>
  <si>
    <t>A Keyword Analysis in Big Data</t>
  </si>
  <si>
    <t>Eun-A Park; Juyeon Lee; Hye-Chung Cho</t>
  </si>
  <si>
    <t>Health &amp; Welfare</t>
  </si>
  <si>
    <t>A Study on Perception Survey of Preservice Elementary Teachers on Teaching Methods in Astronomy ? A Secondary Publication</t>
  </si>
  <si>
    <t>Yong-seob Lee</t>
  </si>
  <si>
    <t>International Education Forum</t>
  </si>
  <si>
    <t>Min-Jeong Kim; Min?Young Kim; Byung Ho Lee</t>
  </si>
  <si>
    <t>Hyun Su Lee; Jin Hee Kim</t>
  </si>
  <si>
    <t>The Korean Society for Multicultural Health</t>
  </si>
  <si>
    <t>Yun-Young Baek; Ji-Seon HONG; Soon-Young Kim; Sung?Ji Park</t>
  </si>
  <si>
    <t>The Association of Korea Counseling Psychology Education Welfare</t>
  </si>
  <si>
    <t>Jiyoon Ban; Donghwa Kim</t>
  </si>
  <si>
    <t>Journal of Hospitality and Tourism Studies</t>
  </si>
  <si>
    <t>Suk?Chan Jang; Sangwon Lee; Sun?Hong Kwon</t>
  </si>
  <si>
    <t>Yakhak Hoeji</t>
  </si>
  <si>
    <t>Dongil Kim; Nayeon Kim; Huiyeong Baek; Sungjin Ahn</t>
  </si>
  <si>
    <t>The Korean Association For Persons With Autism</t>
  </si>
  <si>
    <t>고려대학교 북한학과; Sok-Chun Chang; Ezra Kim</t>
  </si>
  <si>
    <t>The Journal of Peace Studies</t>
  </si>
  <si>
    <t>Chunghee Chung; Hyorim Lee; Boomin Jung</t>
  </si>
  <si>
    <t>Hyekyoung Chae</t>
  </si>
  <si>
    <t>A study on the trends in Korean language education for North Korean refugees based on network analysis.</t>
  </si>
  <si>
    <t>An Yong Lee; An Yong Lee</t>
  </si>
  <si>
    <t>THE KOREAN SOCIETY OF EDUCATIONAL THERAPY; Hye-Yon Seon; Hui-Ju Kim; Ye-Jee Kim; Ye-Rin Park</t>
  </si>
  <si>
    <t>Jounral of Educational Therapist</t>
  </si>
  <si>
    <t>Experience of Nursing Students’ Nursing Management Practicum based on the Service Design : Application of Text Network Analysis</t>
  </si>
  <si>
    <t>Mi-Ok Song</t>
  </si>
  <si>
    <t>Journal of the Korea Academia-Industrial cooperation Society</t>
  </si>
  <si>
    <t>Insoo Oh; Jiyoon Ban; JieHyang Son</t>
  </si>
  <si>
    <t>Misug Choi</t>
  </si>
  <si>
    <t>Seongkyu Choi; Sua Lim; Boreum Moon; Young Ha Cho</t>
  </si>
  <si>
    <t>Korean Education Inquiry</t>
  </si>
  <si>
    <t>NamGyu Kim</t>
  </si>
  <si>
    <t>Gwan-Seob Lee; J. Woo; Hyun-Jong Lee</t>
  </si>
  <si>
    <t>Journal of Tourism and Leisure Research</t>
  </si>
  <si>
    <t>Intelligent construction technology based information sharing network for prefabricated building supply chain: a social network analysis approach</t>
  </si>
  <si>
    <t>Rui Zhu; Lihong Li</t>
  </si>
  <si>
    <t>Kybernetes</t>
  </si>
  <si>
    <t>경북대학교, 교수; yoon-soo Han; Jung-Hyun CHOI; Jiwun Yoon</t>
  </si>
  <si>
    <t>Eun-taek Lee; Eun-jung Lee</t>
  </si>
  <si>
    <t>The Impact of Late Adolescents' Social Network Strength on Mental Health</t>
  </si>
  <si>
    <t>e70910</t>
  </si>
  <si>
    <t>Hyo-Sook Kim</t>
  </si>
  <si>
    <t>Mission and Theology</t>
  </si>
  <si>
    <t>Soo Jin Park; C Park; Dong Hun Lee</t>
  </si>
  <si>
    <t>The Journal of Elementary Education</t>
  </si>
  <si>
    <t>Tae?Hoon Kim</t>
  </si>
  <si>
    <t>The Journal of Incheon Studies</t>
  </si>
  <si>
    <t>Eul su Kim; So Yeun Cho</t>
  </si>
  <si>
    <t>Journal of Adolescent welfare</t>
  </si>
  <si>
    <t>Cheon-Jin Park; Hyewon Chung</t>
  </si>
  <si>
    <t>Hae Sook Kim; Jae hong Song</t>
  </si>
  <si>
    <t>Research Institute of Education Science Jeju National University</t>
  </si>
  <si>
    <t>CONNECTION OF TERMS BETWEEN INQUIRY ACTIVITIES AND THE MAIN TEXT IN THE LIFE SCIENCE UNIT OF LOWER SECONDARY SCHOOL TEXTBOOKS IN THE REPUBLIC OF KOREA</t>
  </si>
  <si>
    <t>Youngshin Kim; Chaewon Oh; Mohadese Eskandari; Soo-min Lim</t>
  </si>
  <si>
    <t>The Korean Movie Minari: A Big Data Analysis</t>
  </si>
  <si>
    <t>Transactions on Machine Learning and Artificial Intelligence</t>
  </si>
  <si>
    <t>Sociodemographic, Psychosocial, and Household Level Factors Associated With Fruit, Vegetable, and Fiber Consumption Among Corner Store Customers in Baltimore, Maryland</t>
  </si>
  <si>
    <t>Emma Lewis; Lisa Poirier-Barna; Stacey Williamson; Antonio J Trujillo; Takeru Igusa; Joel Gittelsohn</t>
  </si>
  <si>
    <t>Current Developments in Nutrition</t>
  </si>
  <si>
    <t>The Korean Data Analysis Society; Seong-Won Eum</t>
  </si>
  <si>
    <t>The Korean Data Analysis Society</t>
  </si>
  <si>
    <t>Yoon-jae Eom; Shin-dong Lee</t>
  </si>
  <si>
    <t>Keejoon Yoon; Hyunwoo Jung</t>
  </si>
  <si>
    <t>Korean Society for Holistic Convergence Education</t>
  </si>
  <si>
    <t>Minsun Kim</t>
  </si>
  <si>
    <t>Journal of Korea Culture Industry</t>
  </si>
  <si>
    <t>A Study on the Degree Centrality Analysis of Meaningful Activities of Daily Living (ADL) in Male Stroke Patients : Focusing on Social Network Analysis</t>
  </si>
  <si>
    <t>극동대학교 작업치료학과; Hyup Kim; Jin-Seok Oh</t>
  </si>
  <si>
    <t>건강과 작업과학</t>
  </si>
  <si>
    <t>Social Norms of Body Image for Young Women Over the Past Decade: A Text Mining Analysis of News Big Data</t>
  </si>
  <si>
    <t>Jisu Lee; Hyeonkyeong Lee; Hyeyeon Lee; Gahui Hwang</t>
  </si>
  <si>
    <t>Youngsil Ko</t>
  </si>
  <si>
    <t>현재 고려대학교 공공정책연구소 연구교수임.; Ezra Kim; Eun-joo Park</t>
  </si>
  <si>
    <t>Exploring the Effects of Flipped Learning Classes for Pre-service Early Childhood Teachers: Focusing on Play Guidance Classes</t>
  </si>
  <si>
    <t>Hea-Youn Cho; Junho Ryu; Gha-Hyun Lee; Ji-Woo Yoon</t>
  </si>
  <si>
    <t>Mi Jeong Park; Jung Hyun Chae; Ju Hyoung Han</t>
  </si>
  <si>
    <t>The Journal of the Korea Contents Association</t>
  </si>
  <si>
    <t>Hyung-eun Seo; Eun-Joo Ji</t>
  </si>
  <si>
    <t>Journal of Korean Academy of Fundamentals of Nursing</t>
  </si>
  <si>
    <t>Seungmi Park; Eun?Jun Park</t>
  </si>
  <si>
    <t>Exploring the Knowledge Structure of Research for Nurse Preceptor Training Programs Using Text Network Analysis and Topic Modeling</t>
  </si>
  <si>
    <t>Young-Chool Choi</t>
  </si>
  <si>
    <t>Psychology and Education Journal</t>
  </si>
  <si>
    <t>Hyo-Sook KIM</t>
  </si>
  <si>
    <t>Korea Presbyterian Journal of Theology</t>
  </si>
  <si>
    <t>Yun A Seo; H Jo</t>
  </si>
  <si>
    <t>Moving Towards Nutrition Security: Examining Differences in Sociodemographic, Dietary, and Cardiometabolic Profiles Using Evidence-Based Diet Quality Categories</t>
  </si>
  <si>
    <t>Cindy W. Leung; Elise Gahan; Laura A. Schmidt; Jerolde Mande; Deirdre K. Tobias</t>
  </si>
  <si>
    <t>Seong-Su Jang; Junghwan Lee</t>
  </si>
  <si>
    <t>Hye Jun Lee; Ki Soon Han</t>
  </si>
  <si>
    <t>Research Trends in Positive Psychology: Focusing on ?Journal of Positive Psychology?</t>
  </si>
  <si>
    <t>Do?Hee Kim; Won-Key Na; Pingping Cao</t>
  </si>
  <si>
    <t>SoJung Lee; Yoon Hee Seo</t>
  </si>
  <si>
    <t>Journal of Children’s Media &amp; Education</t>
  </si>
  <si>
    <t>The impact of social network characteristics on health among community?dwelling elderly in South Korea: Application of social network analysis</t>
  </si>
  <si>
    <t>Kang?Hyun Park; Byoung?Jin Jeon</t>
  </si>
  <si>
    <t>Alzheimer s &amp; Dementia</t>
  </si>
  <si>
    <t>Hye-Ryeon Kim</t>
  </si>
  <si>
    <t>Nam Hyun Cho; KuemHee Jang</t>
  </si>
  <si>
    <t>Mi-Hyun Bang; Young-Min Lee</t>
  </si>
  <si>
    <t>Seo Youngsuk; Han Kisoon</t>
  </si>
  <si>
    <t>Yunjeong Choi; Yong-gu Kim</t>
  </si>
  <si>
    <t>Journal of Korean Coaching Research</t>
  </si>
  <si>
    <t>Keon-Ryeong Park</t>
  </si>
  <si>
    <t>Research Trends of Nursing Ethics Applying Text Network Analysis and Topic Modelling</t>
  </si>
  <si>
    <t>상지대학교 간호학과; Chan Sook Park; Eun-Jun Park</t>
  </si>
  <si>
    <t>J Korean Soc Nurs Ethics</t>
  </si>
  <si>
    <t>Effects of a Situation-Based Empathic Communication Program on Elementary Students’ Empathy Abilities, Peer Networks, Attitudes toward Students with Disabilities, and Empathic Conversational Behaviors</t>
  </si>
  <si>
    <t>The Korean Society of Special Education; Kyung In Han; Seunghee Park</t>
  </si>
  <si>
    <t>Hyo-in Lee</t>
  </si>
  <si>
    <t>The journal of korean language and literature</t>
  </si>
  <si>
    <t>텍스트네트워크분석 및 토픽모델링을 적용한 국내 간호윤리 연구 동향</t>
  </si>
  <si>
    <t>박찬숙; 박은준</t>
  </si>
  <si>
    <t>Jing An; Seo-jin Baek</t>
  </si>
  <si>
    <t>가천대학교 일반대학원 특수상담치료학과 미술치료학 박사과정; Han-Na Choi; Na-Young Lim</t>
  </si>
  <si>
    <t>Mee Sook Kim</t>
  </si>
  <si>
    <t>Journal of the Korean society for Wellness</t>
  </si>
  <si>
    <t>Metabolic Syndrome and Nutrition: Text Mining and Network Analysis Using Abstracts of PubMed</t>
  </si>
  <si>
    <t>Hwee-Soo Jeong; Dong?Wook Lee; Dong-Gyu Jeong</t>
  </si>
  <si>
    <t>Analysis and Implication in Disability Sport Act &amp;amp; bill using Word Cloud method</t>
  </si>
  <si>
    <t>Myung-Gyu Park; Min-Kyu Han</t>
  </si>
  <si>
    <t>Ji Yeon Lee; Sung-Whan Park</t>
  </si>
  <si>
    <t>Martina Benvenuti; Elvis Mazzoni</t>
  </si>
  <si>
    <t>Archivio istituzionale della ricerca (Alma Mater Studiorum Universit? di Bologna)</t>
  </si>
  <si>
    <t>Na-Young An; Eunjung Kim</t>
  </si>
  <si>
    <t>The Korean Journal of Growth and Development</t>
  </si>
  <si>
    <t>A text network analysis of global literature on self-management of low back pain (Preprint)</t>
  </si>
  <si>
    <t>Jin Kyung Park; Wonjung Noh; Kyounghae Kim</t>
  </si>
  <si>
    <t>Hyun Bo-Ram</t>
  </si>
  <si>
    <t>Overview of infection control in nursing research in Korea over the last 10 years: Text network analysis and topic modeling</t>
  </si>
  <si>
    <t>E. Han Kim; JaHyun Kang</t>
  </si>
  <si>
    <t>Antimicrobial Stewardship &amp; Healthcare Epidemiology</t>
  </si>
  <si>
    <t>For accurately analysing and forecasting the social networks of China's political, economic and social power elites, it is necessary to develop a database that collates their information. The development of such a database involves three stages: data definition, data collection and data quality maintenance. The present study recommends distinctive solutions in overcoming the challenges that occur in existing comparable databases. We used organizational and event factors to identify the Chinese power elites to be included in the database, and used their memberships, social relations and interactions in combination with flows data collection methodologies to determine the associations between them. The system can be used to determine the optimal relationship path (i.e., the shortest path) to reach a target elite and to identify of the most important power elite in a social network (e.g., degree, closeness and eigenvector centrality) or a community (e.g., a clique or a cluster). We have used three social network analysis tools (i.e., R, UCINET and NetMiner) in order to find the important nodes in the network. We compared the results of centrality rankings of each tool. We found that all three tools are providing slightly different results of centrality. This is because different tools use different algorithms and even within the same tool there are various libraries which provide the same functionality (i.e., ggraph, igraph and sna in R that provide the different function to calculate centrality). As there are chances that the results may not be the same (i.e. centrality rankings indicating the most important nodes can be varied), we recommend a comparison test using different tools to get accurate results.</t>
  </si>
  <si>
    <t>10.1109/icccnt56998.2023.10308051</t>
  </si>
  <si>
    <t>10.3390/su14094921</t>
  </si>
  <si>
    <t>10.2196/37622</t>
  </si>
  <si>
    <t>10.3390/su13137347</t>
  </si>
  <si>
    <t>10.17496/kmer.2022.24.2.93</t>
  </si>
  <si>
    <t>10.3390/ijerph18179309</t>
  </si>
  <si>
    <t>Outreach programs are considered a key strategy for providing services to underserved populations and play a central role in delivering health-care services. To address this challenge, knowledge relevant to global health outreach programs has recently been expanded. The aims of this study were to analyze the knowledge structure and understand the trends in aspects over time and across regions using text network analysis with NetMiner 4.0. Data analysis by frequency, time and region showed that the central keywords such as patient, care, service and community were found to be highly related to the area, target population, purpose and type of services within the knowledge structure of outreach. As a result of performing topic modeling, knowledge structure in this area consisted of five topics: patient-centered care, HIV care continuum, services related to a specific disease, community-based health-care services and research and education on health programs. Our results newly identified that patient-centered care, specific disease and population have been growing more crucial for all times and countries by the examination of major trends in health-care related outreach research. These findings help health professionals, researchers and policymakers in nursing and public health fields in understanding and developing health-care-related outreach practices and suggest future research direction.</t>
  </si>
  <si>
    <t>10.1109/icnp59255.2023.10355598</t>
  </si>
  <si>
    <t>10.33225/jbse/22.21.232</t>
  </si>
  <si>
    <t>10.3390/ijerph19074013</t>
  </si>
  <si>
    <t>10.1016/j.nedt.2022.105674</t>
  </si>
  <si>
    <t>10.1097/cin.0000000000000971</t>
  </si>
  <si>
    <t>10.5977/jkasne.2021.27.3.240</t>
  </si>
  <si>
    <t>10.14738/assrj.101.13796</t>
  </si>
  <si>
    <t>10.12799/jkachn.2021.32.4.430</t>
  </si>
  <si>
    <t>10.21032/jhis.2021.46.3.257</t>
  </si>
  <si>
    <t>10.35301/ksme.2023.26.2.133</t>
  </si>
  <si>
    <t>10.52783/jes.2024</t>
  </si>
  <si>
    <t>10.6115/fer.2022.001</t>
  </si>
  <si>
    <t>10.5977/jkasne.2022.28.4.444</t>
  </si>
  <si>
    <t>10.1080/15623599.2022.2159334</t>
  </si>
  <si>
    <t>10.5977/jkasne.2022.28.4.400</t>
  </si>
  <si>
    <t>10.1097/cin.0000000000001040</t>
  </si>
  <si>
    <t>10.1111/jan.14685</t>
  </si>
  <si>
    <t>10.1097/cin.0000000000000993</t>
  </si>
  <si>
    <t>Simulations using virtual patients have been utilized as an effective method in nursing education. However, keyword network analyses and topic modeling on simulations using virtual patients in nursing education have not yet been performed. In this study, 213 articles were retrieved from online research article databases. Abstracts from these articles were extracted, and network analysis was conducted using NetMiner version 4.3 (Cyram Inc, Seongnam, South Korea). Based on the study's analysis, scenario, communication, system, assessment, person, disaster, and management were identified as the keywords with high centrality values. Therefore, they were determined to be influential in the network. After topic modeling, 10 topics were derived as dementia care competency, pain assessment, airway placement management, operating procedure, presence and satisfaction, communication and attitude improvement, platform world, disaster response, game and video usability, and system for confidence. The identified trends in this study will help grasp the trends and insight to guide future research directions on simulations using virtual patients in nursing education.</t>
  </si>
  <si>
    <t>10.15861/kjse.2021.55.4.169</t>
  </si>
  <si>
    <t>10.1186/s12889-024-19023-6</t>
  </si>
  <si>
    <t>10.52547/aassjournal.971</t>
  </si>
  <si>
    <t>10.19173/irrodl.v24i3.7220</t>
  </si>
  <si>
    <t>10.19031/jkheea.2020.09.32.3.179</t>
  </si>
  <si>
    <t>10.22246/jikm.2023.44.3.313</t>
  </si>
  <si>
    <t>10.30832/jmes.2022.52.79</t>
  </si>
  <si>
    <t>10.1108/mabr-08-2021-0069</t>
  </si>
  <si>
    <t>10.9716/kits.2020.19.1.001</t>
  </si>
  <si>
    <t>10.4040/jkan.22117</t>
  </si>
  <si>
    <t>10.32451/kjoaps.2021.17.2.375</t>
  </si>
  <si>
    <t>10.23949/kjpe.2021.1.60.1.4</t>
  </si>
  <si>
    <t>10.15531/ksccr.2021.12.4.289</t>
  </si>
  <si>
    <t>10.14377/kja.2021.11.30.7</t>
  </si>
  <si>
    <t>10.5977/jkasne.2024.30.4.371</t>
  </si>
  <si>
    <t>10.16937/jcp.2020.34.2.35</t>
  </si>
  <si>
    <t>10.46394/iss.39.2.32</t>
  </si>
  <si>
    <t>10.4040/jkan.23052</t>
  </si>
  <si>
    <t>10.5977/jkasne.2024.30.4.382</t>
  </si>
  <si>
    <t>10.23949/kjpe.2021.3.60.2.12</t>
  </si>
  <si>
    <t>10.6115/fer.2022.042</t>
  </si>
  <si>
    <t>10.1177/00469580221139374</t>
  </si>
  <si>
    <t>Many studies have reported that Cognitive reserve is a critical mechanism affecting cognitive statuses, such as dementia. The purposes of this study were to identify the knowledge structure and the research trend on cognitive reserve by conducting keyword analysis on research papers ranging from the earliest to the most recent studies done on the topic and to suggest directions for future research. The Web of Science (WOS) database was used to search for articles on cognitive reserve in aging from 2001 to 2020. NetMiner version 4 (cyram, KOREA), a social network analysis program, was used for keyword network analysis. Data analysis showed keywords that could be categorized as cognitive reserve related keywords (cognitive reserve related concepts, cognitive reserve related factor, cognitive reserve diagnosis and measurement, cognitive reserve outcomes) and cognitive reserve research keywords (research subject/disease, research method, intervention, research field). Through trend analysis, we found that various keywords appeared, indicating that the research has gradually developed conceptually and methodically. Based on these findings, future CR studies require the development of multimodal interface-based tools by applying modern digital technology that can be used to more accurately diagnose and monitor CR; remotely, in real time. In addition, to improve CR, it is suggested that the development of cognitive stimulation interventions utilizing VR which fuses AI based interaction technology with the subjects. Finally, CR could develop further through a cooperation of multidisciplinary professionals such as psychology, medicine and nursing.</t>
  </si>
  <si>
    <t>10.15531/ksccr.2021.12.1.067</t>
  </si>
  <si>
    <t>10.21189/jkugs.24.2.9</t>
  </si>
  <si>
    <t>10.35283/erft.2021.34.2.23</t>
  </si>
  <si>
    <t>10.22251/jlcci.2020.20.11.185</t>
  </si>
  <si>
    <t>10.46669/kss.2020.18.3.097</t>
  </si>
  <si>
    <t>10.33615/jkohs.2021.9.3.9</t>
  </si>
  <si>
    <t>10.17825/klr.2022.32.5.77</t>
  </si>
  <si>
    <t>10.5977/jkasne.2024.30.2.149</t>
  </si>
  <si>
    <t>10.46669/kss.2022.20.2.062</t>
  </si>
  <si>
    <t>10.20437/koaece29-1-08</t>
  </si>
  <si>
    <t>10.22251/jlcci.2020.20.13.401</t>
  </si>
  <si>
    <t>10.46394/iss.39.2.28</t>
  </si>
  <si>
    <t>10.14333/kjte.2024.40.2.04</t>
  </si>
  <si>
    <t>10.1186/s12912-025-03625-5</t>
  </si>
  <si>
    <t>10.35159/kjss.2020.08.29.4.189</t>
  </si>
  <si>
    <t>10.15524/ksas.2022.23.1.065</t>
  </si>
  <si>
    <t>10.14577/kirua.2023.25.1.35</t>
  </si>
  <si>
    <t>10.1177/00469580241271152</t>
  </si>
  <si>
    <t>With the increasing obesity rates, many studies on obesity prevention and management have been implemented. However, few studies focused on obesity in adulthood and different perceptions of obesity between life cycles. Thus, this study aimed to investigate the demand for customized obesity prevention and management (OPM) strategies across adult age groups. Focus group interviews were conducted to gather insights from three age groups: young adults (20-34 years), middle-aged adults (35-49 years), and seniors (50-64 years). A total of 17 participants took part in the study, with 5 participants in Group 1, 6 participants in Group 2, and 6 participants in Group 3. Thematic analysis and the use of NetMiner version 4.4.3 facilitated data categorization and scrutiny. The study employed qualitative methods to explore perceptions of obesity and preferences for personalized OPM strategies among participants. Diverse perspectives on obesity as a health threat were found among the age groups. While all stressed the importance of personalized OPM, preferences for strategies varied. Diet and exercise combination emerged as a common preference. This study highlighted the need for customized OPM approaches aligned with age-specific preferences.</t>
  </si>
  <si>
    <t>10.22155/jfece.27.4.233.253</t>
  </si>
  <si>
    <t>10.30916/kera.60.4.267</t>
  </si>
  <si>
    <t>10.35828/etak.2022.28.1.81</t>
  </si>
  <si>
    <t>10.14738/assrj.102.13950</t>
  </si>
  <si>
    <t>10.32349/ecerr.2021.6.25.3.171</t>
  </si>
  <si>
    <t>10.22251/jlcci.2022.22.15.59</t>
  </si>
  <si>
    <t>10.24826/kscs.10.4.2</t>
  </si>
  <si>
    <t>10.22626/jkfrma.2024.28.4.007</t>
  </si>
  <si>
    <t>10.35159/kjss.2023.06.32.3.1</t>
  </si>
  <si>
    <t>10.35125/jsq.2020.9.4.021</t>
  </si>
  <si>
    <t>10.46394/iss.41.2.18</t>
  </si>
  <si>
    <t>10.51979/kssls.2020.07.81.193</t>
  </si>
  <si>
    <t>10.7466/jfbl.2023.41.4.25</t>
  </si>
  <si>
    <t>10.51979/kssls.2020.04.80.297</t>
  </si>
  <si>
    <t>10.17762/turcomat.v12i6.2097</t>
  </si>
  <si>
    <t>10.15280/jlm.2023.13.1.44</t>
  </si>
  <si>
    <t>10.5281/zenodo.7236174</t>
  </si>
  <si>
    <t>10.1371/journal.pone.0299782</t>
  </si>
  <si>
    <t>This study was aimed to identify football research trends in various periods. A total of 30,946 football papers were collected from a representative academic database and search engine, the 'Web of Science'. Keyword refinement included filtering nouns, establishing synonyms and thesaurus, and excluding conjunctions, and the Cyram's Netminer 4.0 software was used for network analysis. A centrality analysis was conducted by extracting the words corresponding to the top 2% of the main research topics to obtain the degree and eigenvector centralities. The most frequently mentioned research keywords were injury, performance, and club. Keyword performance showed the highest degree centrality (0.294) and keyword world and cup showed the highest eigenvector centrality (0.710). The keyword with the highest eigenvector degree changed from injury in the 1990s and world in the 2000s to cup since the 2010s. Although various studies on football injuries have been conducted, research on the sport itself has recently been conducted. This study provides fundamental information on football trends from research published over the past 30 years.</t>
  </si>
  <si>
    <t>10.3946/kjme.2024.291</t>
  </si>
  <si>
    <t>10.3390/healthcare11081139</t>
  </si>
  <si>
    <t>10.11111/jkana.2024.30.5.529</t>
  </si>
  <si>
    <t>10.21317/ksd.78.6.7</t>
  </si>
  <si>
    <t>10.26894/kdge.2023.28.2.49</t>
  </si>
  <si>
    <t>10.34245/jed.44.2.295</t>
  </si>
  <si>
    <t>10.22143/hss21.11.5.172</t>
  </si>
  <si>
    <t>10.9798/kosham.2022.22.1.45</t>
  </si>
  <si>
    <t>10.1108/979-8-88730-597-420251012</t>
  </si>
  <si>
    <t>10.56035/tod.2024.26.2.104</t>
  </si>
  <si>
    <t>10.22143/hss21.12.2.183</t>
  </si>
  <si>
    <t>10.5281/zenodo.7153414</t>
  </si>
  <si>
    <t>10.22251/jlcci.2021.21.6.669</t>
  </si>
  <si>
    <t>10.23948/kshw.2024.09.30.3.203</t>
  </si>
  <si>
    <t>10.26689/ief.v2i1.6509</t>
  </si>
  <si>
    <t>10.20437/koaece26-5-11</t>
  </si>
  <si>
    <t>10.33502/jksmh.13.2.083</t>
  </si>
  <si>
    <t>10.20496/cpew.2021.8.3.41</t>
  </si>
  <si>
    <t>10.30916/kera.61.5.1</t>
  </si>
  <si>
    <t>10.31667/jhts.2020.6.83.204</t>
  </si>
  <si>
    <t>10.17480/psk.2020.64.4.290</t>
  </si>
  <si>
    <t>10.33729/kapa.2024.3.3</t>
  </si>
  <si>
    <t>10.14363/kaps.2022.23.3.7</t>
  </si>
  <si>
    <t>10.20437/koaece29-5-02</t>
  </si>
  <si>
    <t>10.20437/koaece25-6-06</t>
  </si>
  <si>
    <t>10.15334/fle.2020.27.1.211</t>
  </si>
  <si>
    <t>10.35185/kjet.16.3.3</t>
  </si>
  <si>
    <t>10.5762/kais.2023.24.9.443</t>
  </si>
  <si>
    <t>10.34245/jed.43.2.371</t>
  </si>
  <si>
    <t>10.33729/kapa.2021.2.4</t>
  </si>
  <si>
    <t>10.22327/kei.2023.41.2.001</t>
  </si>
  <si>
    <t>10.24826/kscs.13.6.4</t>
  </si>
  <si>
    <t>10.31336/jtlr.2020.8.32.8.291</t>
  </si>
  <si>
    <t>10.20437/koaece28-6-12</t>
  </si>
  <si>
    <t>10.1108/k-01-2024-0128</t>
  </si>
  <si>
    <t>10.46669/kss.2020.18.3.026</t>
  </si>
  <si>
    <t>10.22251/jlcci.2022.22.21.97</t>
  </si>
  <si>
    <t>10.1002/brb3.70910</t>
  </si>
  <si>
    <t>10.58601/kjre.2022.08.30.03</t>
  </si>
  <si>
    <t>10.17778/mat.2023.02.59.135</t>
  </si>
  <si>
    <t>10.29096/jee.33.3.07</t>
  </si>
  <si>
    <t>10.46331/jis.2022.08.37.45</t>
  </si>
  <si>
    <t>10.19034/kayw.2024.26.4.06</t>
  </si>
  <si>
    <t>10.20437/koaece28-4-10</t>
  </si>
  <si>
    <t>10.15564/jeju.2023.3.25.1.23</t>
  </si>
  <si>
    <t>10.33225/jbse/22.21.1004</t>
  </si>
  <si>
    <t>10.14738/tecs.112.14252</t>
  </si>
  <si>
    <t>10.1016/j.cdnut.2024.102719</t>
  </si>
  <si>
    <t>10.37727/jkdas.2023.25.3.1005</t>
  </si>
  <si>
    <t>10.22251/jlcci.2020.20.7.347</t>
  </si>
  <si>
    <t>10.35184/kshce.2020.24.4.131</t>
  </si>
  <si>
    <t>10.35174/jkci.2024.03.24.1.47</t>
  </si>
  <si>
    <t>10.59910/kjhos.2024.5.1</t>
  </si>
  <si>
    <t>10.1016/j.cdnut.2024.102717</t>
  </si>
  <si>
    <t>10.47635/kjld.2020.17.2.121</t>
  </si>
  <si>
    <t>10.14363/kaps.2020.21.2.33</t>
  </si>
  <si>
    <t>10.14333/kjte.2023.39.3.06</t>
  </si>
  <si>
    <t>10.6115/her.2024.002</t>
  </si>
  <si>
    <t>10.7739/jkafn.2021.28.4.510</t>
  </si>
  <si>
    <t>10.5977/jkasne.2024.30.2.182</t>
  </si>
  <si>
    <t>10.17762/pae.v58i1.2084</t>
  </si>
  <si>
    <t>10.15757/kpjt.2020.52.2.007</t>
  </si>
  <si>
    <t>10.6115/her.2024.044</t>
  </si>
  <si>
    <t>10.1016/j.cdnut.2024.102718</t>
  </si>
  <si>
    <t>10.5392/jkca.2023.23.01.314</t>
  </si>
  <si>
    <t>10.51636/jotd.2023.08.19.2.1</t>
  </si>
  <si>
    <t>10.22251/jlcci.2022.22.21.653</t>
  </si>
  <si>
    <t>10.21183/kjcm.2023.06.22.2.47</t>
  </si>
  <si>
    <t>10.1002/alz.061405</t>
  </si>
  <si>
    <t>10.35159/kjss.2023.06.32.3.639</t>
  </si>
  <si>
    <t>10.22251/jlcci.2023.23.14.451</t>
  </si>
  <si>
    <t>10.5392/jkca.2024.24.10.125</t>
  </si>
  <si>
    <t>10.22155/jfece.28.4.205.226</t>
  </si>
  <si>
    <t>10.20325/kca.2024.17.2.97</t>
  </si>
  <si>
    <t>10.5392/jkca.2023.23.03.648</t>
  </si>
  <si>
    <t>10.51462/jksne.2021.1.2.10</t>
  </si>
  <si>
    <t>10.15861/kjse.2021.56.1.105</t>
  </si>
  <si>
    <t>10.24227/jkll.2023.2.42.245</t>
  </si>
  <si>
    <t>10.22251/jlcci.2024.24.24.73</t>
  </si>
  <si>
    <t>10.32451/kjoaps.2024.20.3.123</t>
  </si>
  <si>
    <t>10.21097/ksw.2024.11.19.4.207</t>
  </si>
  <si>
    <t>10.1093/cdn/nzaa043_062</t>
  </si>
  <si>
    <t>10.46394/iss.41.2.20</t>
  </si>
  <si>
    <t>10.51979/kssls.2024.10.98.225</t>
  </si>
  <si>
    <t>10.34284/kjgd.2024.08.32.3.139</t>
  </si>
  <si>
    <t>10.2196/preprints.42068</t>
  </si>
  <si>
    <t>10.24826/kscs.10.4.7</t>
  </si>
  <si>
    <t>10.1017/ash.2023.228</t>
  </si>
  <si>
    <t>Research trends over 10 years (2010~2021) in infant and toddler rearing behavior by family caregivers in South Korea: text network and topic modeling</t>
    <phoneticPr fontId="1" type="noConversion"/>
  </si>
  <si>
    <t>ANALYSING CORE THEMES AND CO-AUTHOR PATTERNS ON THE CONNECTION BETWEEN INTELLECTUAL PROPERTY RIGHTS AND SOCIAL ENTERPRISES”</t>
  </si>
  <si>
    <t>CONNESSIONI EDUCATIVE” a system to create new alliances be-tween family, school, and community</t>
  </si>
  <si>
    <t>Analysis of research trends on Childcare” for young children in Korea using LDA topic modeling</t>
  </si>
  <si>
    <t>Exploring the Knowledge Structure of the Journal of the Korean Association for Persons With Autism” using Keyword Network Analysis</t>
  </si>
  <si>
    <t>LDA topic modeling analysis of YouTube content with the keywords child” &amp;amp; kids”</t>
  </si>
  <si>
    <t>네트워크 분석을 통한 예술심리치료사의 역할에 관한 국내ㆍ외 문헌 고찰</t>
    <phoneticPr fontId="1" type="noConversion"/>
  </si>
  <si>
    <t>A Text Network Analysis of Nurse Managers' Feedback Journals</t>
  </si>
  <si>
    <t>Taekwondo Kyorugi Players' Perceptions of Referees' Judgements: Text-Mining Analysis</t>
  </si>
  <si>
    <t>Analysis of clinical nurse educators' mentoring feedback on new nurse journals at a tertiary hospital in South Korea: utilizing text network analysis</t>
  </si>
  <si>
    <t>Social network analysis: A survey on process, tools, and application</t>
  </si>
  <si>
    <t>Analysis of research trends on the digital technologies utilization in physical education: Cross-sectional review study with key word network analysis</t>
  </si>
  <si>
    <t>Literature Review of Extended Reality Research in Consumer Experience: Insight From Semantic Network Analysis and Topic Modeling</t>
  </si>
  <si>
    <t>Text Network Analysis to Develop a Search Strategy for a Systematic Review</t>
  </si>
  <si>
    <t>Strategic Pathways to Alternative Marine Fuels: Empirical Evidence from Shipping Practices in South Korea</t>
  </si>
  <si>
    <t>Diagnosing the status and trend of research on traditional knowledge related to non-timber forest products as food</t>
  </si>
  <si>
    <t>Temporal Exploration of New Nurses' Field Adaptation Using Text Network Analysis</t>
  </si>
  <si>
    <t>Analyzivng Demand for Customized Obesity Prevention and Management Across Adult Age Groups Using Focus Group Interview</t>
  </si>
  <si>
    <t>A Study on Internet News for Patient Safety Campaigns: Focusing on Text Network Analysis and Topic Modeling</t>
  </si>
  <si>
    <t>Analysis of research trends in artificial intelligence and healthcare convergence using text mining techniques</t>
  </si>
  <si>
    <t>Social big data applications and challenges</t>
  </si>
  <si>
    <t>Topics model of overwork-related deaths in Korea and the implications of SDGs' decent work perspective</t>
  </si>
  <si>
    <t>Capturing New Nurses' Experiences and Supporting Critical Thinking Text Network Analysis of Critical Reflective Journals</t>
  </si>
  <si>
    <t>Keyword Network Analysis and Topic Modeling of News Articles Related to Artificial Intelligence and Nursing br</t>
  </si>
  <si>
    <t>A SORT OF NET</t>
  </si>
  <si>
    <t>Detecting communities using social network analysis in online learning environments: Systematic literature review</t>
  </si>
  <si>
    <t>Web-based research trends on child and adolescent cancer survivors over the last 5 years: text network analysis and topic modeling study</t>
  </si>
  <si>
    <t>Brain-based learning research for adult education and human resource development</t>
  </si>
  <si>
    <t>Investigating knowledge structure and research trends in child and adolescent health literacy research through network text analysis</t>
  </si>
  <si>
    <t>Social network analysis in research on digitalization in sustainable built environment</t>
  </si>
  <si>
    <t>Policy network analysis the legislation process for medical privatization in Korea</t>
  </si>
  <si>
    <t>Y ALIGNMENT OF CONCEPTS OF MEIOSIS AMONG CURRICULUM, TEXTBOOKS, CLASSROOM TEACHING AND ASSESSMENT IN UPPER SECONDARY SCHOOL IN REPUBLIC OF KOREA</t>
  </si>
  <si>
    <t>Application of PageRank Model for Olympic Women's Taekwondo Rankings: Comparison of PageRank and Accumulated Point Index System</t>
  </si>
  <si>
    <t>Faulkner</t>
  </si>
  <si>
    <t>Without a Net</t>
  </si>
  <si>
    <t>Research trends in accounting fraud using network analysis</t>
  </si>
  <si>
    <t>Social network analysis applications in sustainable construction and built environment management</t>
  </si>
  <si>
    <t>Text network analysis of research topics and trends on global health nursing literature from 1974-2017</t>
  </si>
  <si>
    <t>An Empirical Study on Filter Bubbles in the YouTube Comments Network: Using Social Network Analysis</t>
  </si>
  <si>
    <t>Mapping the intellectual structure of research on surgery with mixed reality</t>
  </si>
  <si>
    <t>Co-visitation network in tourism-driven peri-urban area based on social media analytics</t>
  </si>
  <si>
    <t>Toward an understanding of family business sustainability: A network-based systematic review</t>
  </si>
  <si>
    <t>Using an expanded Safety Failure Event Network to analyze railway dangerous goods transportation system risk-accident</t>
  </si>
  <si>
    <t>The association of spatial configuration with social network for elderly in social housing</t>
  </si>
  <si>
    <t>Social Network Analysis for Research of Cancer Patients' Health-Related Quality of Life</t>
  </si>
  <si>
    <t>HITing back against NETs</t>
  </si>
  <si>
    <t>No. 950 Net</t>
  </si>
  <si>
    <t>사회연결망 분석을 적용한 치매 지식지도 구축</t>
  </si>
  <si>
    <t>This study employed text network analysis to examine nurse managers' feedback journals for new nurses, highlighting the critical need for structured support during their transition period. A total of 429 feedback journals were documented by 32 nurse managers for 239 new nurses between September 2019 and March 2021 in South Korea, aiming to identify the challenges faced by new nurses and explore keyword relationships and thematic patterns. The analysis process included 4 stages: data preprocessing, keyword extraction, network and centrality analysis, and subtheme analysis. Using NetMiner 4.5.0, the analysis identified several central keywords in the feedback journals, with performance showing the highest centrality values (degree centrality = 0.448, closeness centrality = 0.580, betweenness centrality = 0.117), followed by experience and explanation. Through community detection analysis using the eigenvector method, 3 distinct subthemes emerged from the network structure: clinical practice fundamentals, learning and development process, and support and educational system. The findings of this study provide empirical evidence for developing structured feedback programs and enhancing nurse managers' interviewing competencies. The findings provide empirical evidence regarding linguistic patterns and thematic structures in nurse managers' feedback, suggesting systematic documentation protocols and utilization of these insights to inform structured feedback initiatives, thereby supporting new nurses' development.</t>
  </si>
  <si>
    <t>BackgroundThe gap between knowledge and clinical practice causes stress and reality shock, contributing to low job satisfaction and high turnover among new nurses; in 2023, the turnover rate in South Korea reached 52.4%. Korean preceptorship programs are often too brief to adequately support new nurses' adaptation. Clinical nurse educators (CNEs) play a crucial role in addressing these issues by offering knowledge transfer, emotional support, and career guidance. Therefore, strategies to strengthen CNEs' coaching and mentoring skills are essential to support new nurses' stable clinical adaptation. This study analyzed how CNEs mentored new hospital nurses by responding to their post-entry journals.MethodsThis study employed a quantitative content analysis. We used NetMiner 4.5.1 to conduct a text network analysis of 1,742 mentoring journal responses written by four CNEs for 120 new nurses at C University Hospital in South Korea between June 2021 and May 2022.ResultsThe keyword attitude had the highest frequency (726), emphasizing the clinical importance of fostering positive attitudes among new nurses. The keyword network had average centrality measures of degree (.15), closeness (.43), and betweenness (.05). Keywords with high centrality, such as attitude, importance, performance, and difficulty, highlighted mentoring practices focused on enhancing clinical judgment, nursing performance, and managing workplace challenges. Eigenvector analysis identified three subtopic groups with optimal modularity (.295). Subthemes included: 1) helping new nurses to improve their professional competence, 2) encouraging new nurses struggling to adapt to the field, and 3) empathy for new nurses' burdens and stress.ConclusionsThe findings revealed that the CNEs' mentoring feedback focused on encouraging new nurses to maintain a positive attitude, inspiring their personal and professional growth, and offering empathy and encouragement to help them cope with burdens and stress. Based on these findings, targeted training modules for CNEs and mentoring guidelines should be developed to further support new nurses' adaptation to clinical practice.</t>
  </si>
  <si>
    <t>Purpose: This study aimed to analyze the experiences of new nurses during their first year of hospital employment to gather data for the development of an evidence-based new nurse residency program focused on adaptability. Methods: This study was conducted at a tertiary hospital in Korea between March and August 2021 with 80 new nurses who wrote in critical reflective journals during their first year of work. NetMiner 4.5.0 was used to conduct a text network analysis of the critical reflective journals to uncover core keywords and topics across three periods. Results: In the journals, over time, degree centrality emerged as study and patient understanding for 1 to 3 months, insufficient and stress for 4 to 6 months, and handover and preparation for 7 to 12 months. Major sub-themes at 1 to 3 months were: rounds, intravenous-cannulation, medical device, and patient understanding; at 4 to 6 months they were admission, discharge, oxygen therapy, and disease; and at 7 to 12 months they were burden, independence, and solution. Conclusion: These results provide valuable insights into the challenges and experiences encountered by new nurses during different stages of their field adaptation process. This information may highlight the best nurse leadership methods for improving institutional education and supporting new nurses' transitions to the hospital work environment.</t>
  </si>
  <si>
    <t>Background/Objectives: This study aimed to identify the main issues related to public patient safety campaigns reflected in Korean online news. This study utilized a text-mining method to identify keywords and topics related to patient safety campaigns. Methods: The data collection period was from 1 January 2022 to 31 December 2023, and 4110 news articles were extracted. Through data preprocessing, 2661 duplicated news and 1213 unrelated news were removed, and 236 news were selected. Using the NetMiner program, keyword co-occurrence frequency calculation, keyword centrality analysis, and topic modeling analysis were performed. Results: The results showed that the most frequently mentioned keywords with high degree centrality, betweenness centrality, and closeness centrality in online news were hospital, medical, medicine, project, and treatment. The topics of online news related to the patient safety campaign were patient-centered care for medical safety, health promotion projects at a regional institution, hand hygiene education to prevent infection, healthcare quality improvement through the Mint Festival, and safe use of medicines. Conclusions: This study analyzed patient safety campaign news topics using text network analysis and topic modeling. It was confirmed that patient safety campaigns are essential for fostering a patient safety culture, improving medical quality, and encouraging patient participation in hospitals. Therefore, to build a safe medical environment, it is necessary to establish an effective patient safety campaign for not only medical staff providing medical care, but also patients and their caregivers, and for this, cooperation and participation from various professional occupations are necessary.</t>
  </si>
  <si>
    <t>Objective: Through a text network analysis, this study examined major issues related to death from overwork reported in Korean media over the past ten years, focusing on essential workers, and examined the implications for Korean society from the perspective of decent work as described by the Sustainable Development Goals (SDGs). Methods: We retrieved 1,340 news articles from 52 media companies by searching for death from overwork as a keyword using the Big Kinds database operated by the Korea Press Foundation. A total of 4,627 nouns were extracted from news articles, and four topics were found by performing topic modeling using the NetMiner 4 program. We also examined the trend of topic ratios by year. Results: Between 2012 and 2015, 22-36 news articles were reported annually, and Topic 2 (recognition of death from overwork of public officials) was the most common. Between 2016 and 2019, 72-162 news articles were reported annually, and Topic 1 (postal workers' extended working hours) was the most common. Between 2020 and 2021, 314-441 news articles were reported annually, and Topic 3 (measures against industrial accidents of courier workers) and Topic 4 (courier sorting and labor union consensus) were the most common. Conclusion: In Korea, postal workers, public officials, and courier workers are vulnerable to death from overwork. This can be resolved by considerably reducing working hours, recognizing industrial accidents, and improving the working environment. From the perspective of the United Nations Development Programme (UNDP) SDGs' decent work concept, to sustain workers' health and well-being, the State and companies should guarantee workers healthy working hours, choice of working hours, guarantee of decent and productive work, and maximum working hours cap system. The labor system and workplace culture should be improved to guarantee workers' health and well-being.</t>
  </si>
  <si>
    <t>This study analyzed the contents of critical reflective journals written by new nurses during their orientations using a text network. This study aimed to find ways to reduce turnover and improve clinical field adaptability among new nurses. The authors analyzed the content of reflective journals written by 143 new nurses from March 2020 to January 2021. Text network analysis was performed using the NetMiner 4.4.3 program. After data preprocessing, frequency of occurrence, degree centrality, closeness centrality, betweenness centrality, and eigenvector community were analyzed. In total, 453 words were extracted and refined, and words with high simple frequency and centrality were incompetence, preparation, explanation, injection, time, examination, and first try. Medication had the highest frequency of occurrence, and incompetence was the most important keyword in the centrality analysis. In addition, component analysis and eigenvector community analysis revealed three sub-theme groups: (1) basic nursing skills required for new nurses, (2) insufficient competency, and (3) explanation of nursing work. Significantly, this study is the first to use the text network method to analyze the subjective experiences of the critical reflective journals of new nurses. In conclusion, changes are needed to improve the education system for new nurses and promote efficient sharing of nursing tasks.</t>
  </si>
  <si>
    <t>Purpose: The purpose of this study was to identify the main keywords, network properties, and main topics of news articles related to arti-ficial intelligence technology in the field of nursing.Methods: After collecting artificial intelligence-and nursing-related news articles pub-lished between January 1, 1991, and July 24, 2022, keywords were extracted via preprocessing. A total of 3,267 articles were searched, and 2,996 were used for the final analysis. Text network analysis and topic modeling were performed using NetMiner 4.4.Results: As a result of analyzing the frequency of appearance, the keywords used most frequently were education, medical robot, telecom, dementia, and the older adults living alone. Keyword network analysis revealed the following results: a density of 0.002, an average degree of 8.79, and an average distance of 2.43; the central keywords identified were 'education,' 'medical robot,' and 'fourth industry.' Five topics were derived from news articles related to artificial intelligence and nursing: 'Artificial intelligence nursing research and development in the health and medical field,' 'Education using artificial intelligence for children and youth care,' 'Nursing robot for older adults care,' 'Community care policy and artificial intelligence,' and 'Smart care technology in an aging society.'Conclusion: The use of artificial intelligence may be help-ful among the local community, older adult, children, and adolescents. In particular, health management using artificial intelligence is indis-pensable now that we are facing a super-aging society. In the future, studies on nursing intervention and development of nursing programs using artificial intelligence should be conducted</t>
  </si>
  <si>
    <t>Aims The purpose of this study is to examine the relationship between keywords in existing global health nursing studies during 44 years (1974-2017) and to develop schematic diagrams of the relationship between these keywords from a macro perspective. It is to identify the trend of the literature in global health nursing field. Design A descriptive bibliometric analysis of publications in global health nursing. Methods The keywords from 7,115 articles and literatures were examined using the Text Rank Analyzer via the applied text network analysis with NetMiner 4.0. Results As for global health nursing, keywords with the most frequent appearance and the highest networking degree in centrality were 'study', 'patient', 'nurse', and 'women'. Six central keywords were also found highly related to other keywords: 'global health nursing', 'study', 'patient', 'care', 'nurse', and 'education'. By measuring the degree of keywords connected to other keywords in centrality, six clusters were established. Then, emerging topics assessed by time periods were identified as follows: the beginning phase ('breastfeeding', 'women', and 'children'), the development phase ('quality', 'life', and 'human immunodeficiency virus'), the maturation phase ('mental health', 'depression', and 'global health'), and the expansion phase ('pregnancy', 'palliative care', and 'infectious disease'). Conclusion The identified trends on this study will help nurse leaders to grasp the trends and insights for global health and to train future nurses to serve clients better in the practice fields. Impact Keywords with the highest appearance and centrality in the network were found in the global health articles. The bibliometric analysis showed various subjects according to the following phases: beginning development maturation and expansion. The awareness of the trend change in the global health helps nursing researchers and educators modify the curriculum of global health nursing and train future nurses to be equipped with the global health competencies.</t>
  </si>
  <si>
    <t>Some point out that the influence of YouTube's video recommendation algorithm is causing users to be exposed to only video clips in limited subjects or fields, especially to biased content with opinions that are tilted to one side. However, there is a lack of empirical research on filter bubbles as algorithms in YouTube have not been disclosed. This study indirectly demonstrated the phenomenon of filter bubble on YouTube by extracting comment-based content network between uploaders who posted videos and writers who wrote comments on the video by each subject of the contents. Also, this study analyzed communication patterns between users through social network analysis (SNA). According to the analysis, users' narrow information acquisition and communication phenomenon caused by the filter bubble in YouTube was found.</t>
  </si>
  <si>
    <t>The peri-urban area has undergone tremendous changes in various aspects. Tourism-driven development in this area, echoing the longing of urban residents for recreational and leisure space, provides an alternative to conventional urbanization approaches. Particularly, in view of heightened conflicts and fierce competitions that often occur in the area, developing the knowledge of the co-visitation network, or how different attractions and villages interact with each other from the visitors' perspective, is key to more informed planning strategies. With the rapid development of online social media platforms and mobile devices, researchers can collect massive realtime data on the basis of online user-generated content. While there are already many attempts on its application on tourism design, few studies to date have explored how peri-urban attractions and villages are organized in same trips. In this paper, we design a new methodology on the basis of social media analytics to construct and map a co-visitation network, and apply NetMiner-enabled social network analysis to explain its structure and nodal functions. The usefulness of this methodology is demonstrated through a detailed case study in Shenzhen, China. Research findings reveal types of existing co-visitation patterns, which help planners predict future trends, design new experiences and take specific measures in line with visitor demands.</t>
  </si>
  <si>
    <t>This study aimed to investigate the association of spatial configuration with social interaction for elderly. A social housing in Seoul was selected for the case study. Using space syntax and social network analysis, the association was examined statistically. This research employed an integration indicator which is most closely related to space use pattern. Questionnaire and interview surveys were conducted to illustrate the pattern of social network. Using the collected data, NetMiner was utilized to conduct a quantitative analysis. Degree, closeness and betweenness indicators were employed to measure relationships in these networks and between individuals. The characteristics of the association established by the statistical analysis between spatial network of housing estate and social network of elderly were discussed. Our results show that spatial network properties can explain characteristics of social network. The accessibility of residential spaces for elderly individuals in social housing apartment complex has an effect on the strength of the social network with neighbours. Also, analysis of the spatial configuration accessibility for the elderly population with integration values has illustrated that the result was opposite to the general theory that 'the locations with high accessibility could foster more interactions'. Our findings have suggested that we can have a better knowledge to foster more social network among elderly by planning improved spatial network.</t>
  </si>
  <si>
    <t>Kang, N; Ahn, S; Jeong, HW</t>
  </si>
  <si>
    <t>Kim, YH; Choi, CH; Oh, SE</t>
  </si>
  <si>
    <t>Ahn, S; Jeong, HW</t>
  </si>
  <si>
    <t>Singh, S. S. et al.</t>
  </si>
  <si>
    <t>Ahn, B. O., Son, S.</t>
  </si>
  <si>
    <t>Choi, H., Lee, H.</t>
  </si>
  <si>
    <t>Leem, S. et al.</t>
  </si>
  <si>
    <t>Lee, J. et al.</t>
  </si>
  <si>
    <t>Min, S. et al.</t>
  </si>
  <si>
    <t>Ahn, SH; Jeong, HW; Yang, SG; Jung, US; Choi, ML; Kim, HS</t>
  </si>
  <si>
    <t>Park, J; Park, S; Kim, MS</t>
  </si>
  <si>
    <t>Shin, SH; Baek, OJ</t>
  </si>
  <si>
    <t>You, K. S., Ho, S. D.</t>
  </si>
  <si>
    <t>Erol, S. E. et al.</t>
  </si>
  <si>
    <t>Kim, MS</t>
  </si>
  <si>
    <t>Seon, SH; Jeong, HW; Ju, D; Lee, JA; Ahn, SH</t>
  </si>
  <si>
    <t>Ha, JY; Park, HJ</t>
  </si>
  <si>
    <t>Pollard, C</t>
  </si>
  <si>
    <t>Yassine, S. et al.</t>
  </si>
  <si>
    <t>Kim, H. Y. et al.</t>
  </si>
  <si>
    <t>Jang, C. S. et al.</t>
  </si>
  <si>
    <t>Bae, E. J. et al.</t>
  </si>
  <si>
    <t>Eriksson, K. et al.</t>
  </si>
  <si>
    <t>Yoon, K; Choi, M; Lee, M</t>
  </si>
  <si>
    <t>Kim, Y; Lee, YH; Lee, H; Lim, SM</t>
  </si>
  <si>
    <t>Oh, H; Jeon, M; Chin, S; Lim, H</t>
  </si>
  <si>
    <t>Davis, D</t>
  </si>
  <si>
    <t>Chatelain, N</t>
  </si>
  <si>
    <t>Yu, S. J., Rha, J. S.</t>
  </si>
  <si>
    <t>Hewa Welege, N. M. et al.</t>
  </si>
  <si>
    <t>Lee, SK; Hong, HS</t>
  </si>
  <si>
    <t>Kim, D; Lee, W; Kim, D; Gim, G</t>
  </si>
  <si>
    <t>Han, J. et al.</t>
  </si>
  <si>
    <t>Sun, Y. et al.</t>
  </si>
  <si>
    <t>Ahn, H. S. et al.</t>
  </si>
  <si>
    <t>Sun, Y; Shao, YW; Chan, EHW</t>
  </si>
  <si>
    <t>Huang, WC; Zhang, Y; Zuo, BR; Yu, YC; De Dieu, GJ; Xu, YF</t>
  </si>
  <si>
    <t>Kim, JY; Kim, YO</t>
  </si>
  <si>
    <t>Lee, HS; Kim, K</t>
  </si>
  <si>
    <t>Swaidani, S; McCrae, KR</t>
  </si>
  <si>
    <t>Nagree, Z</t>
  </si>
  <si>
    <t>CIN-COMPUTERS INFORMATICS NURSING</t>
  </si>
  <si>
    <t>PERCEPTUAL AND MOTOR SKILLS</t>
  </si>
  <si>
    <t>BMC NURSING</t>
  </si>
  <si>
    <t>JOURNAL OF BALTIC SCIENCE EDUCATION</t>
  </si>
  <si>
    <t>ACM Computing Surveys</t>
  </si>
  <si>
    <t>American Journal of Health Behavior</t>
  </si>
  <si>
    <t>Asia Marketing Journal</t>
  </si>
  <si>
    <t>Applied Sciences</t>
  </si>
  <si>
    <t>Trees, Forests and People</t>
  </si>
  <si>
    <t>JOURNAL OF KOREAN ACADEMY OF NURSING</t>
  </si>
  <si>
    <t>INQUIRY-THE JOURNAL OF HEALTH CARE ORGANIZATION PROVISION AND FINANCING</t>
  </si>
  <si>
    <t>HEALTHCARE</t>
  </si>
  <si>
    <t>Proceedings of the International Conference on Industrial Engineering and Operations Management</t>
  </si>
  <si>
    <t>Concurrency and Computation: Practice and Experience</t>
  </si>
  <si>
    <t>SAFETY SCIENCE</t>
  </si>
  <si>
    <t>POETRY REVIEW</t>
  </si>
  <si>
    <t>Wiley Interdisciplinary Reviews: Data Mining and Knowledge Discovery</t>
  </si>
  <si>
    <t>European Journal of Training and Development</t>
  </si>
  <si>
    <t>Journal of Pediatric Nursing</t>
  </si>
  <si>
    <t>Engineering Project Organization Journal</t>
  </si>
  <si>
    <t>HEALTH POLICY AND TECHNOLOGY</t>
  </si>
  <si>
    <t>ANNALS OF APPLIED SPORT SCIENCE</t>
  </si>
  <si>
    <t>AMERICAN LITERARY SCHOLARSHIP</t>
  </si>
  <si>
    <t>FIDDLEHEAD</t>
  </si>
  <si>
    <t>Built Environment Project and Asset Management</t>
  </si>
  <si>
    <t>JOURNAL OF ADVANCED NURSING</t>
  </si>
  <si>
    <t>INTERNATIONAL JOURNAL OF SOFTWARE INNOVATION</t>
  </si>
  <si>
    <t>Journal of Biomedical Informatics</t>
  </si>
  <si>
    <t>Landscape and Urban Planning</t>
  </si>
  <si>
    <t>LANDSCAPE AND URBAN PLANNING</t>
  </si>
  <si>
    <t>JOURNAL OF LOSS PREVENTION IN THE PROCESS INDUSTRIES</t>
  </si>
  <si>
    <t>INDOOR AND BUILT ENVIRONMENT</t>
  </si>
  <si>
    <t>ASIAN ONCOLOGY NURSING</t>
  </si>
  <si>
    <t>BLOOD</t>
  </si>
  <si>
    <t>ARTFORUM INTERNATIONAL</t>
  </si>
  <si>
    <t>Application of PageRank Model for Olympic Womens Taekwondo Rankings: Comparison of PageRank and Accumulated Point Index System</t>
    <phoneticPr fontId="1" type="noConversion"/>
  </si>
  <si>
    <t>Sage</t>
  </si>
  <si>
    <t>Emerald</t>
  </si>
  <si>
    <t>10.1108/K-05-2013-0100</t>
  </si>
  <si>
    <t>10.1016/j.ijproman.2013.10.011</t>
  </si>
  <si>
    <t>10.1177/0165025407077762</t>
  </si>
  <si>
    <t>IEEE</t>
  </si>
  <si>
    <t>Collective Action that Influences Tourism Social Structural Approach To Community Involvement</t>
  </si>
  <si>
    <t>Doohyun Hwang; Sang-Hyun Chi; Byeongcheol Lee</t>
  </si>
  <si>
    <t>Journal of Hospitality &amp; Tourism Research, Vol. 40, No. 4, June 2016, 497­–515</t>
  </si>
  <si>
    <t>10.1177/1096348013503999</t>
  </si>
  <si>
    <t>Comparing fashion process networks and friendship networks in small groups of adolescents</t>
  </si>
  <si>
    <t>10.1108/13612020810906182</t>
  </si>
  <si>
    <t>Digital Literacy Integration in Educational Practice Creating a Learning Community, Through a Geographic Project in Mytilene Senior High School, Greece</t>
  </si>
  <si>
    <t>Evaluating Virtual Collaborative Learning Platforms Using Social Network Analysis</t>
  </si>
  <si>
    <t>Evaluating Virtual Collaborative Learning Platforms Using Social Network Analysis Wissam Tawileh Chair of Wirtschaftsinformatik - Information Management</t>
  </si>
  <si>
    <t>ACM</t>
  </si>
  <si>
    <t>Immigration's Impact on Bi-lateral Trade Formation A Social Network Analysis Approach</t>
  </si>
  <si>
    <t>Information Technology in Education Some Reasons for Optimism</t>
  </si>
  <si>
    <t>Cleborne D. Maddux; D. LaMont Johnson</t>
  </si>
  <si>
    <t>Computers in the Schools</t>
  </si>
  <si>
    <t>10.1080/07380560902906179</t>
  </si>
  <si>
    <t>Intelligent construction technology based information sharing network for prefabricated building supply chain</t>
  </si>
  <si>
    <t>Rui Zhu; Shenyang Jianzhu University</t>
  </si>
  <si>
    <t>Rui Zhu and Lihong Li School of Management, Shenyang Jianzhu University, Shenyang,</t>
  </si>
  <si>
    <t>10.1108/K-01-2024-0128</t>
  </si>
  <si>
    <t>Medication safety education in nursing research Text network analysis and</t>
  </si>
  <si>
    <t>College of Life Science and Industry, Sunchon National Universi</t>
  </si>
  <si>
    <t>Network-Based Visual Analysis of Tabular Data</t>
  </si>
  <si>
    <t>Information Systems]: Information Inter-</t>
  </si>
  <si>
    <t>Schedule risks in prefabrication housing production in Hong Kong a social network analysis</t>
  </si>
  <si>
    <t>Real Estate; The Hong Kong Polytechnic University; Hung Hom; Shenzhen University</t>
  </si>
  <si>
    <t>The review of social networks analysis tools</t>
  </si>
  <si>
    <t>Computer Engineering; Safashahr Branch; Islamic Azad</t>
  </si>
  <si>
    <t>Royale des Sciences de Liège, Vol. 85, 2016, p. 329 - 339</t>
  </si>
  <si>
    <t>A Systematic Literature Review of Sustainable Packaging in Supply Chain Management</t>
    <phoneticPr fontId="1" type="noConversion"/>
  </si>
  <si>
    <t>코로나19 확산에 따른 태권도 분야 이슈 분석</t>
    <phoneticPr fontId="1" type="noConversion"/>
  </si>
  <si>
    <t>Co-visitation network in tourism-driven peri-urban area based on social media analytics: A case study in Shenzhen, China</t>
    <phoneticPr fontId="1" type="noConversion"/>
  </si>
  <si>
    <t>Digital Health Care Industry Ecosystem: Network Analysis</t>
    <phoneticPr fontId="1" type="noConversion"/>
  </si>
  <si>
    <t>COVID-19 발생 전·후 언론보도에 나타난 간호사 이미지에 대한 텍스트 네트워크 분석 및 토픽 모델링</t>
    <phoneticPr fontId="1" type="noConversion"/>
  </si>
  <si>
    <t>텍스트 마이닝을 적용한 교육연구 동향 분석</t>
    <phoneticPr fontId="1" type="noConversion"/>
  </si>
  <si>
    <t>10.4018/978-1-7998-7297-9.ch025</t>
    <phoneticPr fontId="1" type="noConversion"/>
  </si>
  <si>
    <t>키워드 네트워크 분석을 통한 발명교육 연구 동향</t>
    <phoneticPr fontId="1" type="noConversion"/>
  </si>
  <si>
    <t>A bibliometric review of research on interorganizational conflicts in the construction industry: 1989-2021</t>
    <phoneticPr fontId="1" type="noConversion"/>
  </si>
  <si>
    <t>10.1108/ijcma-03-2022-0051</t>
    <phoneticPr fontId="1" type="noConversion"/>
  </si>
  <si>
    <t>A News Big Data Analysis of Issues in Higher Education in Korea amid the COVID-19 Pandemic</t>
    <phoneticPr fontId="1" type="noConversion"/>
  </si>
  <si>
    <t>미디어 빅데이터를 활용한 Covid19 전·후 여가 의미연결망 분석</t>
    <phoneticPr fontId="1" type="noConversion"/>
  </si>
  <si>
    <t>A network analysis for providing insights into national R&amp;D budget allocation and investment planning</t>
    <phoneticPr fontId="1" type="noConversion"/>
  </si>
  <si>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</si>
  <si>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</si>
  <si>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</si>
  <si>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</si>
  <si>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</si>
  <si>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</si>
  <si>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</si>
  <si>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</si>
  <si>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</si>
  <si>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</si>
  <si>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</si>
  <si>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</si>
  <si>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</si>
  <si>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</si>
  <si>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</si>
  <si>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</si>
  <si>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</si>
  <si>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</si>
  <si>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</si>
  <si>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</si>
  <si>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</si>
  <si>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</si>
  <si>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</si>
  <si>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</si>
  <si>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</si>
  <si>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</si>
  <si>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</si>
  <si>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</si>
  <si>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</si>
  <si>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</si>
  <si>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</si>
  <si>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</si>
  <si>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</si>
  <si>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</si>
  <si>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</si>
  <si>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</si>
  <si>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</si>
  <si>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</si>
  <si>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</si>
  <si>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</si>
  <si>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</si>
  <si>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</si>
  <si>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</si>
  <si>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</si>
  <si>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</si>
  <si>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</si>
  <si>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</si>
  <si>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</si>
  <si>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</si>
  <si>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</si>
  <si>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</si>
  <si>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</si>
  <si>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</si>
  <si>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</si>
  <si>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</si>
  <si>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</si>
  <si>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</si>
  <si>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</si>
  <si>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</si>
  <si>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</si>
  <si>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</si>
  <si>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</si>
  <si>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</si>
  <si>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</si>
  <si>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</si>
  <si>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</si>
  <si>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</si>
  <si>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</si>
  <si>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</si>
  <si>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</si>
  <si>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</si>
  <si>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r>
      <t xml:space="preserve">netminer </t>
    </r>
    <r>
      <rPr>
        <sz val="10"/>
        <rFont val="맑은 고딕"/>
        <family val="3"/>
        <charset val="129"/>
      </rPr>
      <t>검색</t>
    </r>
    <phoneticPr fontId="7" type="noConversion"/>
  </si>
  <si>
    <t/>
  </si>
  <si>
    <t>Kang, Naru; Ahn, Shinhye; Jeong, Hye Won</t>
  </si>
  <si>
    <t>Article</t>
  </si>
  <si>
    <t>[Ahn, Shinhye] Chonnam Natl Univ Hosp, Dept Nursing, Gwangju, South Korea; [Jeong, Hye Won] Sunchon Natl Univ, Dept Nursing, Sunchon Si, Jeollanam Do, South Korea; [Jeong, Hye Won] Korea Natl Univ Transportat, Dept Nursing, 61 Daehak Ro, Jeungpyeong 27909, Chungcheongbuk, South Korea</t>
  </si>
  <si>
    <t>Jeong, HW (corresponding author), Korea Natl Univ Transportat, Dept Nursing, 61 Daehak Ro, Jeungpyeong 27909, Chungcheongbuk, South Korea.</t>
  </si>
  <si>
    <t>knr5318@naver.com; chunyanggirl@naver.com; hyewon1129@ut.ac.kr</t>
  </si>
  <si>
    <t>MAR</t>
  </si>
  <si>
    <t>e01373</t>
  </si>
  <si>
    <t>10.1097/CIN.0000000000001373</t>
  </si>
  <si>
    <t>2026-05-29</t>
  </si>
  <si>
    <t>WOS:001708080600007</t>
  </si>
  <si>
    <t>Kang, N; Zhang, P; Li, H; Wen, SS; Ji, CY; Yang, YQ</t>
  </si>
  <si>
    <t>Kang, Ning; Zhang, Peng; Li, Hao; Wen, Sisi; Ji, Chaoyang; Yang, Yongqiang</t>
  </si>
  <si>
    <t>IEEE TRANSACTIONS ON NETWORKING</t>
  </si>
  <si>
    <t>Network specification, which describes what an existing network is designed for, can help operators better understand and manage their networks, and is a critical pre-condition for network verification and synthesis tools to work. Existing tools for specification mining either cannot scale to large networks, or scale by sacrificing fidelity. Moreover, the specification contains a huge number of low-level intents (e.g., tens of thousands of pairwise reachability), making it hard for operators to read. To this end, this paper presents NetMiner, which can mine specification from network configurations, with high scalability, fidelity, and easier to read. The key idea of NetMiner is to faithfully simulate the network routing and forwarding behaviors with control plane simulators and data plane verifiers, so as to achieve high fidelity. Meanwhile, NetMiner improves the scalability by identifying relevant failure scenarios, and aggregating them to significantly reduce the number of needed simulations. Moreover, NetMiner clusters similar low-level intents into a high-level intent, to make the specification more concise and easier to read. Experiments using real configurations from a large cloud service provider and synthetic configurations show that NetMiner can mine specification 10 x faster, and reduce the number of intents by 100 x, compared to state-of-the-art tools.</t>
  </si>
  <si>
    <t>[Kang, Ning; Zhang, Peng; Li, Hao; Wen, Sisi] Xi An Jiao Tong Univ, Minist Educ, MOE Key Lab Intelligent Networks &amp; Network Secur, Xian 710049, Peoples R China; [Ji, Chaoyang; Yang, Yongqiang] Huawei Cloud Comp Technol Co Ltd, Beijing 100015, Peoples R China</t>
  </si>
  <si>
    <t>Zhang, P (corresponding author), Xi An Jiao Tong Univ, Minist Educ, MOE Key Lab Intelligent Networks &amp; Network Secur, Xian 710049, Peoples R China.</t>
  </si>
  <si>
    <t>kangning2018@foxmail.com; p-zhang@xjtu.edu.cn; hao.li@xjtu.edu.cn; sswen0427@gmail.com; jichaoyang@huawei.com; yangyongqiang@huawei.com</t>
  </si>
  <si>
    <t>10.1109/TON.2025.3607440</t>
  </si>
  <si>
    <t>SEP 2025</t>
  </si>
  <si>
    <t>WOS:001582265700001</t>
  </si>
  <si>
    <t>Oh, J; Son, S; Park, JH</t>
  </si>
  <si>
    <t>Oh, Jinseok; Son, Sungmin; Park, Jin-Hyuck</t>
  </si>
  <si>
    <t>An analysis of adolescent leisure activity structure based on subjective well-being: Focusing on social network analysis</t>
  </si>
  <si>
    <t>PLOS ONE</t>
  </si>
  <si>
    <t>This study examines how adolescent leisure activity networks relate to subjective well-being (SWB) using Statistics Korea's 2019 Time Use Survey. The analysis includes 241 high-SWB and 241 low-SWB adolescents, assessing network density, inclusiveness, average distance, isolated nodes, degree centrality, and cohesion through NetMiner 4.0, with descriptive statistics processed in SPSS ver. 25.0. The results show clear differences in leisure activity networks. High-SWB adolescents engaged in more social activities and sports, while low-SWB adolescents participated in fewer, more solitary activities. High-SWB networks were diverse and well-connected, whereas low-SWB networks were more fragmented. Screen-based activities also played different roles: supporting social connections in high-SWB adolescents but reinforcing isolation in low-SWB adolescents. This study visually highlights that leisure participation varies by SWB level. The findings suggest that promoting diverse and interactive leisure activities can improve adolescent well-being, offering insights for policy and intervention programs.</t>
  </si>
  <si>
    <t>[Oh, Jinseok; Park, Jin-Hyuck] Univ Soonchunhyang, Soonchunhyang Except Children Inst, Asan, Chungcheongnam, South Korea; [Son, Sungmin] Yonsei Univ, Wonju Coll Med, Dept Psychiat, Wonju Si, Kangwon Do, South Korea</t>
  </si>
  <si>
    <t>Park, JH (corresponding author), Univ Soonchunhyang, Soonchunhyang Except Children Inst, Asan, Chungcheongnam, South Korea.</t>
  </si>
  <si>
    <t>roophy@naver.com</t>
  </si>
  <si>
    <t>WOS:001488720800043</t>
  </si>
  <si>
    <t>Seon, SH; Jeong, HW; Choi, JY</t>
  </si>
  <si>
    <t>Seon, Sun Hee; Jeong, Hye Won; Choi, Ja Yun</t>
  </si>
  <si>
    <t>PurposeThis study utilized text network analysis and topic modeling to examine the research landscape of nurse preceptor training programs and facilitate the adaptation of new nurses in Korea and internationally.MethodsAbstracts from three Korean and 45 international studies on preceptor nurse training programs were collected. Keywords and meaningful morphemes from the abstracts and main text were analyzed and refined. A co-occurrence matrix of keywords was generated to analyze degree, closeness, and betweenness centrality using NetMiner 4.5.0 software. Topic modeling was used to identify key thematic structures.ResultsAmong the top 10 ranked keywords, five common terms-clinical competence, educator, nursing practice, teaching strategy, and mentoring-emerged across both frequency and centrality measures. Topic modeling identified four major subtopics: nurse preceptor programs for strengthening partnership skills and professional insights, communication programs to enhance the self-care competence of nurse preceptors, simulation programs to strengthen the expertise of nurse preceptors, and nurse preceptor programs to foster emotional empathy and growth.ConclusionThis study improves patient safety and professional competence by promoting optimal clinical decision-making for new nurse preceptees. Future research should develop educational programs that foster mutual empathy and professional growth between nurse preceptors and new nurse preceptees.</t>
  </si>
  <si>
    <t>[Seon, Sun Hee] Chonnam Natl Univ Hosp, Gwangju, South Korea; [Jeong, Hye Won] Korea Natl Univ Transportat, Jeungpyeong Gun, Chungcheongbuk, South Korea; [Choi, Ja Yun] Chonnam Natl Univ, Gwangju, South Korea</t>
  </si>
  <si>
    <t>Choi, JY (corresponding author), Chonnam Natl Univ, Coll Nursing, 160 Baekseo ro, Gwangju 61469, South Korea.</t>
  </si>
  <si>
    <t>Seon00509@hanmail.net; hyewon1129@ut.ac.kr; choijy@jnu.ac.kr</t>
  </si>
  <si>
    <t>SEP</t>
  </si>
  <si>
    <t>e01347</t>
  </si>
  <si>
    <t>10.1097/CIN.0000000000001347</t>
  </si>
  <si>
    <t>WOS:001569257100006</t>
  </si>
  <si>
    <t>Ahn, Shinhye; Jeong, Hye Won</t>
  </si>
  <si>
    <t>[Ahn, Shinhye] Sunchon Natl Univ, Dept Nursing, Suncheon Si, Jeollanam Do, South Korea; [Jeong, Hye Won] Korea Natl Univ Transportat, Dept Nursing, 61 Daehak Ro, Jeungpyeong 27909, Chungcheongbuk, South Korea</t>
  </si>
  <si>
    <t>hyewon1129@ut.ac.kr</t>
  </si>
  <si>
    <t>AUG 5</t>
  </si>
  <si>
    <t>WOS:001545465400002</t>
  </si>
  <si>
    <t>Oh, JS; Ho, JG; Park, JH</t>
  </si>
  <si>
    <t>Oh, Jin Seok; Ho, Jong Gab; Park, Jin-Hyuck</t>
  </si>
  <si>
    <t>BRAIN AND BEHAVIOR</t>
  </si>
  <si>
    <t>Purpose This study examined how social network strength (i.e., the intensity and frequency of interactions within one's personal network, assessed using centrality measures such as degree, closeness, betweenness, and eigenvector centrality) affects mental health. Methods The study was conducted with 108 first-year university students. Data were collected using a structured questionnaire, and NetMiner 4.0 was employed to analyze degree centrality, closeness centrality, betweenness centrality, and eigenvector centrality as indicators of social network centrality. Additionally, Quadratic Assignment Procedure (QAP) correlation analysis and QAP regression analysis were conducted to assess the relationship between social network strength and mental health. Results The study found that stronger social networks were linked to better mental health in late adolescence. Specifically, higher social network centrality was associated with lower levels of hopelessness and depression. QAP correlation analysis revealed that hopelessness had a significant negative correlation with in-closeness centrality (which reflects how easily one can be reached by others within the network) (r = -0.252, p &lt; 0.05), while depression was negatively correlated with in-degree centrality (the number of direct incoming connections from peers) (r = -0.233, p &lt; 0.05), in-closeness centrality (r = -0.256, p &lt; 0.05), and eigenvector centrality (a measure of how well a person is connected to popular or influential members of the network) (r = -0.291, p &lt; 0.01). QAP regression analysis further confirmed that weaker social ties, indicated by higher out-closeness centrality (how easily one can reach others, especially those at a distance), were associated with higher depressive symptoms (adj. R-2 = 0.143, F = 2.423, p &lt; 0.05). These results suggest that building stronger and more integrated social networks may help reduce psychological distress and support mental well-being in late adolescence. Conclusion Stronger social networks in late adolescence are associated with better mental health, highlighting the importance of social connections. While correlational findings suggest general links between centrality and emotional well-being, the regression results underscore specific predictors with practical implications. In-degree, in-closeness, and eigenvector centrality were associated with reduced depressive symptoms, indicating that being well-integrated within a social network may offer protective benefits. In contrast, high out-closeness centrality predicted increased depression, suggesting that the effort required to maintain outward-reaching connections may impose psychological burdens. These findings suggest that targeted interventions should focus on strengthening inward social integration while addressing the stress related to maintaining extensive outward connections, providing direction for more effective youth mental health strategies.</t>
  </si>
  <si>
    <t>[Oh, Jin Seok; Ho, Jong Gab; Park, Jin-Hyuck] Soonchunhyang Univ, Soonchunhyang Except Children Inst, Asan, South Korea; [Park, Jin-Hyuck] Soonchunhyang Univ, Coll Med Sci, Dept Occupat Therapy, Asan, South Korea</t>
  </si>
  <si>
    <t>Park, JH (corresponding author), Soonchunhyang Univ, Soonchunhyang Except Children Inst, Asan, South Korea.;Park, JH (corresponding author), Soonchunhyang Univ, Coll Med Sci, Dept Occupat Therapy, Asan, South Korea.</t>
  </si>
  <si>
    <t>SEP 27</t>
  </si>
  <si>
    <t>WOS:001582615700001</t>
  </si>
  <si>
    <t>[Ahn, Shin Hye; Jeong, Hye Won; Yang, Seong Gyeong; Jung, Ue Seok; Choi, Myoung Lee; Kim, Heui Seon] Chonnam Natl Univ Hosp, Dept Nursing, Gwangju, South Korea; [Jeong, Hye Won] Chonnam Natl Univ, Coll Nursing, Gwangju, South Korea; [Jeong, Hye Won] Korea Natl Univ Transportat, Dept Nursing, 61 Daehak ro,Yonggang ri,Jeungpyeong eup, Jeungpyeong 27909, South Korea</t>
  </si>
  <si>
    <t>Jeong, HW (corresponding author), Korea Natl Univ Transportat, Dept Nursing, 61 Daehak ro,Yonggang ri,Jeungpyeong eup, Jeungpyeong 27909, South Korea.</t>
  </si>
  <si>
    <t>JUN</t>
  </si>
  <si>
    <t>10.4040/jkan.24034</t>
  </si>
  <si>
    <t>WOS:001314085800007</t>
  </si>
  <si>
    <t>Park, Jinah; Park, Shinaeh; Kim, Mi So</t>
  </si>
  <si>
    <t>[Park, Jinah] Seoul Natl Univ, Seoul, South Korea; [Park, Shinaeh] Korea Univ, Seoul, South Korea; [Kim, Mi So] Shinhan Univ, Dongducheon Si, Gyeonggi Do, South Korea</t>
  </si>
  <si>
    <t>Kim, MS (corresponding author), Shinhan Univ, Coll Nursing, 30 Beolmadeul Ro 40Beon Gil, Dongducheon Si 11644, Gyeonggi Do, South Korea.</t>
  </si>
  <si>
    <t>misoangel83@gmail.com</t>
  </si>
  <si>
    <t>WOS:001298233300001</t>
  </si>
  <si>
    <t>Lee, JJ; Kim, J; Lee, SK</t>
  </si>
  <si>
    <t>Lee, Jae-Joon; Kim, Jongwoo; Lee, Soo-Kyoung</t>
  </si>
  <si>
    <t>BMC PUBLIC HEALTH</t>
  </si>
  <si>
    <t>Background The COVID-19 pandemic has been the most widespread and threatening health crisis experienced by the Korean society. Faced with an unprecedented threat to survival, society has been gripped by social fear and anger, questioning the culpability of this pandemic. This study explored the correlation between social cognitions and negative emotions and their changes in response to the severe events stemming from the COVID-19 pandemic in South Korea. Methods The analysis was based on a cognitive-emotional model that links fear and anger to the social causes that trigger them and used discursive content from comments posted on YouTube's COVID-19-related videos. A total of 182,915 comments from 1,200 videos were collected between January and December 2020. We performed data analyses and visualizations using R, Netminer 4.0, and Gephi software and calculated Pearson's correlation coefficients between emotions. Results YouTube videos were analyzed for keywords indicating cognitive assessments of major events related to COVID-19 and keywords indicating negative emotions. Eight topics were identified through topic modeling: causes and risks, perceptions of China, media and information, infection prevention rules, economic activity, school and infection, political leaders, and religion, politics, and infection. The correlation coefficient between fear and anger was 0.462 (p&lt;.001), indicating a moderate linear relationship between the two emotions. Fear was the highest from January to March in the first year of the COVID-19 outbreak, while anger occurred before and after the outbreak, with fluctuations in both emotions during this period. Conclusions This study confirmed that social cognitions and negative emotions are intertwined in response to major events related to the COVID-19 pandemic, with each emotion varying individually rather than being ambiguously mixed. These findings could aid in developing social cognition-emotion-based public health strategies through education and communication during future pandemic outbreaks.</t>
  </si>
  <si>
    <t>[Lee, Jae-Joon] Sookmyung Womens Univ, Sookmyung Res Inst Humanities, 100 Cheongparo 47 Gel, Seoul 04310, South Korea; [Kim, Jongwoo] Yonsei Univ, Dept Sociol, BK21Four Program, 3-101,84 Mapo-Daero 11 Gil, Seoul 04133, South Korea; [Lee, Soo-Kyoung] Seoul Natl Univ, Bigdata Convergence &amp; Open Sharing Syst 1, Seoul 08826, South Korea</t>
  </si>
  <si>
    <t>Lee, SK (corresponding author), Seoul Natl Univ, Bigdata Convergence &amp; Open Sharing Syst 1, Seoul 08826, South Korea.</t>
  </si>
  <si>
    <t>soo1005@snu.ac.kr</t>
  </si>
  <si>
    <t>JUN 4</t>
  </si>
  <si>
    <t>WOS:001320257300007</t>
  </si>
  <si>
    <t>Shin, Sun-Hwa; Baek, On-Jeon</t>
  </si>
  <si>
    <t>[Shin, Sun-Hwa; Baek, On-Jeon] Sahmyook Univ, Coll Nursing, Nursing Dept, Seoul 01795, South Korea</t>
  </si>
  <si>
    <t>Baek, OJ (corresponding author), Sahmyook Univ, Coll Nursing, Nursing Dept, Seoul 01795, South Korea.</t>
  </si>
  <si>
    <t>shinsh@syu.ac.kr; perfectoj@naver.com</t>
  </si>
  <si>
    <t>OCT</t>
  </si>
  <si>
    <t>10.3390/healthcare12191914</t>
  </si>
  <si>
    <t>WOS:001331936100001</t>
  </si>
  <si>
    <t>Kim, J</t>
  </si>
  <si>
    <t>Kim, Jongwon</t>
  </si>
  <si>
    <t>[Kim, Jongwon] Middlesex Univ, London Sport Inst, Sch Sci &amp; Technol, London, England</t>
  </si>
  <si>
    <t>Kim, J (corresponding author), Middlesex Univ, London Sport Inst, Sch Sci &amp; Technol, London, England.</t>
  </si>
  <si>
    <t>jongwonkim1229@gmail.com</t>
  </si>
  <si>
    <t>APR 18</t>
  </si>
  <si>
    <t>WOS:001207320100096</t>
  </si>
  <si>
    <t>Yuan, JF; Chen, KW; Li, W; Ji, C; Wang, ZR; Skibniewski, MJ</t>
  </si>
  <si>
    <t>Yuan, Jingfeng; Chen, Kaiwen; Li, Wei; Ji, Chuang; Wang, Zhiru; Skibniewski, Miroslaw J.</t>
  </si>
  <si>
    <t>Social network analysis for social risks of construction projects in high-density urban areas in China</t>
  </si>
  <si>
    <t>JOURNAL OF CLEANER PRODUCTION</t>
  </si>
  <si>
    <t>Social impacts have become increasingly important for urban development in China. In addition, unlike general construction projects, construction projects in high-density urban areas have high levels of complexity and uncertainty. Thus, from a network perspective, an improved social risk analysis theory and a method for these projects were generated in this paper. A case study involving 66 cases of social conflicts in construction projects in China was performed, and 16 social risk factors were summarized. Eight stakeholders related to these social risk factors were then identified based on a literature review and the case database. A theoretical model for social risk network analysis considering the interrelationships between stakeholders and risks was developed by using NetMiner, a social network analysis (SNA) tool. A 2-mode network and two 1-mode networks were used to analyze the relationships among the identified 16 social risk factors and 8 stakeholders. In terms of three-level challenges such as complex environments, the unreasonable behavior of individuals or organizations, and diversified interaction between behaviors and environments, the most important social risks of construction projects in high-density urban areas were explored to help the government implement effective social risk management measures. In addition, multiple, complicated relationships among residents, contractors, governmental authorities, and owners represented a major factor leading to social risk; therefore, more attention should be focused on this topic. The proposed social risk analysis method can increase the attention paid by project managers, governmental authorities, and project owners to social risk factors in high-density areas and provide a structured framework to analyze such social risks, as well as put forth possible solutions to reduce the social impacts on construction projects in high-density urban areas. (C) 2018 Elsevier Ltd. All rights reserved.</t>
  </si>
  <si>
    <t>[Yuan, Jingfeng] Southeast Univ, Dept Construct &amp; Real Estate, Nanjing 210096, Jiangsu, Peoples R China; [Chen, Kaiwen] Virginia Polytech Inst &amp; State Univ, Dept Bldg Construct, Blacksburg, VA 24061 USA; [Li, Wei] Southeast Univ, Sch Civil Engn, Dept Construct &amp; Real Estate, Nanjing 210096, Jiangsu, Peoples R China; [Ji, Chuang] Longyuan Future City Investment &amp; Management Co L, Investment Dev Dept, Shanghai 200072, Peoples R China; [Wang, Zhiru] Univ Sci &amp; Technol Beijing, Coll Econ &amp; Management, Beijing 100083, Peoples R China; [Skibniewski, Miroslaw J.] Univ Maryland, Dept Civil &amp; Environm Engn, College Pk, MD 20742 USA; [Skibniewski, Miroslaw J.] Polish Acad Sci, Inst Theoret &amp; Appl Informat, Gliwice, Poland; [Skibniewski, Miroslaw J.] Chaoyang Univ Technol, Taichung, Taiwan</t>
  </si>
  <si>
    <t>Yuan, JF (corresponding author), Southeast Univ, Dept Construct &amp; Real Estate, Nanjing 210096, Jiangsu, Peoples R China.</t>
  </si>
  <si>
    <t>jingfeng-yuan@seu.edu.cn; kwchen16@vt.edu; leewei0842@163.com; ji.chuang@hotmail.com; wangzhiru@ustb.edu.cn; mirek@umd.edu</t>
  </si>
  <si>
    <t>OCT 10</t>
  </si>
  <si>
    <t>10.1016/j.jclepro.2018.07.109</t>
  </si>
  <si>
    <t>WOS:000442973100082</t>
  </si>
  <si>
    <t>Morashti, JA; An, Y; Jang, H</t>
  </si>
  <si>
    <t>Morashti, Jonathan Asher; An, Youra; Jang, Hyunmi</t>
  </si>
  <si>
    <t>A Systematic Literature Review of Sustainable Packaging in Supply Chain Management</t>
  </si>
  <si>
    <t>SUSTAINABILITY</t>
  </si>
  <si>
    <t>This exploratory study utilises quantitative analysis to deliver a systematic literature review of published journal papers from 1993 to 2020 with the aim to identify research trends and present a comprehensive overview of research focus conducted in the sustainable packaging domain within the scope of supply chain management. This research is conducted with the data mining software, NetMiner 4, utilising the three analytical tools of statistical analysis, keyword network analysis, and topic analysis. The research also utilises the qualitative method of in-depth interviews in order to investigate current trends and perspectives on the future of sustainable packaging and to validate the analysis results. The research findings reveal that research in the field of 'sustainable packaging in supply chain management' field has been extremely limited, and this study acts to address this research gap. The results confirm that the vast majority of research focus has been in the fields of engineering and science. Research on the topic has gained momentum and has significantly increased since 2013 with research trends becoming increasingly diversified and gradually aligned with the concept of circular economy, while the topic of operational management has been highlighted as an area requiring additional attention. The keyword frequency analysis reveals the following highest occurring keywords in TF: life cycle; environmental impact; consumer; transportation; and production. The highest occurring keywords in TF-IDF: production; transportation; consumer; food; and environmental impact. Topic modelling revealed the following six topics: consumer behaviour; environmental pollution; circular economy; waste management; resource conservation; and operational management. This study contributes to understanding past, present, and future research agendas, and can be utilised as foundation for research development, as it provides insight to current research status and trends provided by the keyword network analysis highlighting research focus and trends in 'sustainable packaging in supply chain management'.</t>
  </si>
  <si>
    <t>[Morashti, Jonathan Asher; An, Youra; Jang, Hyunmi] Pusan Natl Univ, Grad Sch Int Studies, Busan 46241, South Korea</t>
  </si>
  <si>
    <t>Jang, H (corresponding author), Pusan Natl Univ, Grad Sch Int Studies, Busan 46241, South Korea.</t>
  </si>
  <si>
    <t>jamorashti@pusan.ac.kr; youraan@pusan.ac.kr; jangh01@pusan.ac.kr</t>
  </si>
  <si>
    <t>MAY</t>
  </si>
  <si>
    <t>WOS:000794598300001</t>
  </si>
  <si>
    <t>Kim, D; Kim, S</t>
  </si>
  <si>
    <t>Kim, Dongwook; Kim, Sungbum</t>
  </si>
  <si>
    <t>The Role of Mobile Technology in Tourism: Patents, Articles, News, and Mobile Tour App Reviews</t>
  </si>
  <si>
    <t>Review</t>
  </si>
  <si>
    <t>The purpose of this research is to identify the status and role of mobile technology in achieving sustainable and smart tourism, and to suggest future research and strategy directions for academia and managers in practice. This research utilized multiple sources, such as patents, academic articles, and news, and selected methodologies optimized for the purpose of each study. Study 1 used Netminer, a social network analysis program, to analyze the relationships between patent's International Patent Classification (IPC) codes. Study 2 used the T-LAB program for content analysis to analyze the texts of patents, journal articles, and news. Study 3 used the Leximancer program, which utilizes relative frequency to analyze mobile app consumer reviews. In study 1, we identified various forms of data related technologies and mobile technologies for smart city systems and maps. In study 2, we found the environment, sustainability, business, and market themes to be related to mobile technology. In study 3, we explored consumers' attitudes and preferences for mobile travel app using their reviews. Advances in mobile technology are expected to create innovative experiences for consumers, foster a sustainable competitive advantage for tourism destinations and tourism-related suppliers, and create sustainable competencies for smart tourism.</t>
  </si>
  <si>
    <t>[Kim, Dongwook] Korea Adv Inst Sci &amp; Technol, Grad Sch Innovat &amp; Technol Management, Daejeon 305701, South Korea; [Kim, Sungbum] Kumoh Natl Inst Technol, Dept IT Convergence, Gumi 730701, Gyungbuk, South Korea</t>
  </si>
  <si>
    <t>Kim, S (corresponding author), Kumoh Natl Inst Technol, Dept IT Convergence, Gumi 730701, Gyungbuk, South Korea.</t>
  </si>
  <si>
    <t>heavenk1@kaist.ac.kr; it89@kumoh.ac.kr</t>
  </si>
  <si>
    <t>NOV</t>
  </si>
  <si>
    <t>10.3390/su9112082</t>
  </si>
  <si>
    <t>WOS:000416793400161</t>
  </si>
  <si>
    <t>Seon, Sun Hee; Jeong, Hye Won; Ju, Deok; Lee, Jung A. A.; Ahn, Shin Hye</t>
  </si>
  <si>
    <t>[Seon, Sun Hee; Ju, Deok; Lee, Jung A. A.; Ahn, Shin Hye] Chonnam Natl Univ Hosp, Gwangju, South Korea; [Jeong, Hye Won] Chonnam Natl Univ, Chonnam Natl Univ Hosp, Gwangju, South Korea; [Jeong, Hye Won] Chonnam Nat Univ Hosp, Dept Nursing, 42 Jebong Ro, Gwangju 61469, South Korea; [Jeong, Hye Won] Chonnam Natl Univ, Coll Nursing, 160 Baekseo Ro, Gwangju 61469, South Korea</t>
  </si>
  <si>
    <t>Jeong, HW (corresponding author), Chonnam Nat Univ Hosp, Dept Nursing, 42 Jebong Ro, Gwangju 61469, South Korea.;Jeong, HW (corresponding author), Chonnam Natl Univ, Coll Nursing, 160 Baekseo Ro, Gwangju 61469, South Korea.</t>
  </si>
  <si>
    <t>seon00509@hanmail.net; y2k331646@gmail.com; juyulianna@hanmail.net; cuttylja@hanmail.net; chunyanggirl@naver.com</t>
  </si>
  <si>
    <t>10.1097/CIN.0000000000000971</t>
  </si>
  <si>
    <t>WOS:001000492200010</t>
  </si>
  <si>
    <t>[Kim, Mee Sook] Catholic Kkottongnae Univ, Dept Liberal Arts, 33 Sangsam gil, Cheongju Shi 28211, South Korea</t>
  </si>
  <si>
    <t>Kim, MS (corresponding author), Catholic Kkottongnae Univ, Dept Liberal Arts, 33 Sangsam gil, Cheongju Shi 28211, South Korea.</t>
  </si>
  <si>
    <t>mskjeon@kkot.ac.kr</t>
  </si>
  <si>
    <t>10.1016/j.ssci.2023.106239</t>
  </si>
  <si>
    <t>JUN 2023</t>
  </si>
  <si>
    <t>WOS:001030993100001</t>
  </si>
  <si>
    <t>Lin, X; Ho, CMF; Shen, GQP</t>
  </si>
  <si>
    <t>Lin, Xue; Ho, Christabel M. F.; Shen, Geoffrey Q. P.</t>
  </si>
  <si>
    <t>Who should take the responsibility? Stakeholders' power over social responsibility issues in construction projects</t>
  </si>
  <si>
    <t>Construction projects involve multiple stakeholders with different abilities that enable them to deal with the social problems that arise during the project lifecycle. This research aims to study the dynamic stakeholder power in implementing social responsibility issues in construction projects. Empirical research among Hong Kong construction industry practitioners was conducted to investigate the powers of seven stakeholders over thirty-five social responsibility issues. The data was analyzed using two-mode social network analysis methods and processed by Netminer 4. It was found from the results that internal and external stakeholders have control in different domains pertaining to social responsibility issues, but it does not mean either group has superior power. Ranked by the power status on social responsibility issues, the seven stakeholders are classified into five hierarchies: 1) governments, developers, and main contractors; 2) district councils, 3) consultants; 4) non-government organizations; 5) end users. The dynamic nature of stakeholders' powers has been elucidated by describing the power changes in different project stages, as well as in different social responsibility dimensions. (C) 2017 Elsevier Ltd. All rights reserved.</t>
  </si>
  <si>
    <t>[Lin, Xue; Ho, Christabel M. F.; Shen, Geoffrey Q. P.] Hong Kong Polytech Univ, Dept Bldg &amp; Real Estate, Hong Kong, Hong Kong, Peoples R China</t>
  </si>
  <si>
    <t>Lin, X (corresponding author), Hong Kong Polytech Univ, Dept Bldg &amp; Real Estate, Hong Kong, Hong Kong, Peoples R China.</t>
  </si>
  <si>
    <t>xue.lin@connect.polyu.hk; man.fong.ho@polyu.edu.hk; geoffrey.shen@polyu.edu.hk</t>
  </si>
  <si>
    <t>JUN 15</t>
  </si>
  <si>
    <t>10.1016/j.jclepro.2017.04.007</t>
  </si>
  <si>
    <t>WOS:000401201900031</t>
  </si>
  <si>
    <t>Song, MK; Moon, JE; Jang, A</t>
  </si>
  <si>
    <t>Song, Miok; Moon, Jeong Eun; Jang, Aeri</t>
  </si>
  <si>
    <t>[Song, Miok; Jang, Aeri] Honam Univ, Dept Nursing, Gwangju, South Korea; [Moon, Jeong Eun] Honam Univ, Dept Nursing, 120 Honamdae Gil, Gwangju 62399, South Korea</t>
  </si>
  <si>
    <t>Moon, JE (corresponding author), Honam Univ, Dept Nursing, 120 Honamdae Gil, Gwangju 62399, South Korea.</t>
  </si>
  <si>
    <t>coffeesong79@gmail.com; moonjohan@gmail.com; sseillerjjang79@gmail.com</t>
  </si>
  <si>
    <t>10.1097/CIN.0000000000000993</t>
  </si>
  <si>
    <t>WOS:001064261000003</t>
  </si>
  <si>
    <t>Ahn, SH; Jeong, HW</t>
  </si>
  <si>
    <t>Ahn, Shin Hye; Jeong, Hye Won</t>
  </si>
  <si>
    <t>This study aimed to identify keywords, core topic areas, and subthemes by analyzing feedback journals written by preceptor nurses to new nurses during the preceptorship period and to derive implications through word clustering. A total of 143 preceptor nurses' feedback journals for new nurses from March 2020 to January 2021 were converted into a database using Microsoft Office Excel. Text network analysis was performed using the NetMiner 4.4.3 program. After data preprocessing, simple frequency, degree centrality, closeness centrality, betweenness centrality, and community modularity were analyzed. In the feedback journals, the most central words were study, medication, practice, nursing, method, need, and effort, whereas frustration, new nurses had low centrality. Five subthemes were derived: (1) learning necessity to strengthen new nurses' competency, (2) independence of new nurses, (3) emphasis on accuracy in nursing skills, (4) difficulties in understanding the nursing tasks expected of new nurses, and (5) basic competency of new nurses. The results of this study highlighted the experiences of new nurses and allowed for an assessment of journal feedback content provided by preceptor nurses. As such, the study provides basic data to develop a standardized education and competency empowerment program for preceptor nurses.</t>
  </si>
  <si>
    <t>[Ahn, Shin Hye; Jeong, Hye Won] Chonnam Natl Univ Hosp, Dept Nursing, Gwangju, South Korea; [Ahn, Shin Hye; Jeong, Hye Won] Chonnam Natl Univ, Coll Nursing, Gwangju, South Korea; [Jeong, Hye Won] Chonnam Natl Univ Hosp, Dept Nursing, 42 Jebong Ro, Gwangju 61469, South Korea; [Jeong, Hye Won] Chonnam Natl Univ, Coll Nursing, 160 Baekseo Ro, Gwangju 61469, South Korea</t>
  </si>
  <si>
    <t>Jeong, HW (corresponding author), Chonnam Natl Univ Hosp, Dept Nursing, 42 Jebong Ro, Gwangju 61469, South Korea.;Jeong, HW (corresponding author), Chonnam Natl Univ, Coll Nursing, 160 Baekseo Ro, Gwangju 61469, South Korea.</t>
  </si>
  <si>
    <t>chunyanggirl@naver.com; y2k331646@gmail.com</t>
  </si>
  <si>
    <t>10.1097/CIN.0000000000001040</t>
  </si>
  <si>
    <t>WOS:001085260500007</t>
  </si>
  <si>
    <t>Ha, Ju-Young; Park, Hyo-Jin</t>
  </si>
  <si>
    <t>[Ha, Ju-Young; Park, Hyo-Jin] Pusan Natl Univ, Coll Nursing, 49 Busandaehak Ro, Yangsan 50612, South Korea</t>
  </si>
  <si>
    <t>Park, HJ (corresponding author), Pusan Natl Univ, Coll Nursing, 49 Busandaehak Ro, Yangsan 50612, South Korea.</t>
  </si>
  <si>
    <t>hyojin@pusan.ac.kr</t>
  </si>
  <si>
    <t>FEB</t>
  </si>
  <si>
    <t>WOS:000941874100005</t>
  </si>
  <si>
    <t>Ko, HYJ; Jeong, SH; Lee, EJ; Kim, HS</t>
  </si>
  <si>
    <t>Ko, Hyunjung; Jeong, Seok Hee; Lee, Eun Jee; Kim, Hee Sun</t>
  </si>
  <si>
    <t>Purpose: This study aimed to identify the main keyword, network structure, and main topics of the national petition related to nursing in South Korea. Methods: Data were gathered from petitions related to the national petition in Korea Blue House related to the topic nursing or nurse from August 17, 2017, to May 9, 2022. A total of 5,154 petitions were searched, and 995 were selected for the final analysis. Text network analysis and topic modeling were analyzed using the Netminer 4.5.0 program. Results: Regarding network charac-teristics, a density of 0.03, an average degree of 144.483, and an average distance of 1.943 were found. Compared to results of degree centrality and betweenness centrality, keywords such as work environment, nursing university, license, and education appeared typically in the eigenvector centrality analysis. Topic modeling derived four topics: (1) Improving the working environment and dealing with nursing professionals, (2) requesting investigation and punishment related to medical accidents, (3) requiring clear role regula-tion and legislation of medical and nonmedical professions, and (4) demanding improvement of healthcare-related systems and ser-vices. Conclusion: This is the first study to analyze Korea's national petitions in the field of nursing. This study's results confirmed both the internal needs and external demands for nurses in South Korea. Policies and laws that reflect these results should be developed.</t>
  </si>
  <si>
    <t>[Ko, Hyunjung] Jeonbuk Natl Univ, Grad Sch, Dept Nursing, Jeonju, South Korea; [Jeong, Seok Hee; Lee, Eun Jee; Kim, Hee Sun] Jeonbuk Natl Univ, Coll Nursing, Res Inst Nursing Sci, Jeonju, South Korea; [Ko, Hyunjung] Jeonbuk Natl Univ Hosp, Dept Nursing, Jeonju, South Korea; [Jeong, Seok Hee] Jeonbuk Natl Univ, Coll Nursing, Res Inst Nursing Sci, 567 Baekje Daero, Jeonju 54896, South Korea</t>
  </si>
  <si>
    <t>Jeong, SH (corresponding author), Jeonbuk Natl Univ, Coll Nursing, Res Inst Nursing Sci, 567 Baekje Daero, Jeonju 54896, South Korea.</t>
  </si>
  <si>
    <t>awesomeprof@jbnu.ac.kr</t>
  </si>
  <si>
    <t>DEC</t>
  </si>
  <si>
    <t>WOS:001143408800002</t>
  </si>
  <si>
    <t>Park, J; Han, AY</t>
  </si>
  <si>
    <t>Park, Jinkyung; Han, A. Young</t>
  </si>
  <si>
    <t>NURSE EDUCATION TODAY</t>
  </si>
  <si>
    <t>Objectives: This study aimed to identify the knowledge structure of medication safety nursing education literature by developing schematic diagrams of the relationship between keywords from a macro perspective. This study also identifies the research topics and trends over time.Design: This quantitative content study used text network analysis to explore keywords and research topics using topic modeling within the medication safety nursing education literature. Data sources: PubMed, EMBASE, and Cochrane databases were used to search for the medication safety nursing education literature published until December 2021.Methods: Keywords from 2085 articles were examined using text network analysis and topic modeling with NetMiner 4.4.3.Results: The keywords with the most frequency and the highest networking degree in centrality were patient, medication, program, nurse, and care. The emerging keywords assessed by time periods were identified; the first phase (heart failure, insulin, chemotherapy, and infusion), the second phase (medication er-rors, staff, and information), the third phase (program, management, and data). The results of topic modeling were as follows: safe medication administration, safe medication reconciliation process, medication education for patients, medication errors in nursing practice, and multidisciplinary teamwork for medication safety.Conclusion: These findings will help nursing researchers and educators to understand the trends and insights for medication safety education and educate future nurses to provide safer nursing care.</t>
  </si>
  <si>
    <t>[Park, Jinkyung] Chonnam Natl Univ, Coll Nursing, 160 Baekseo Ro, Gwangju 61469, South Korea; [Han, A. Young] Sunchon Natl Univ, Coll Life Sci &amp; Ind, Dept Nursing, 255 Jungang Ro, Suncheon Si 57922, Jeollanam Do, South Korea</t>
  </si>
  <si>
    <t>Han, AY (corresponding author), Sunchon Natl Univ, Coll Life Sci &amp; Ind, Dept Nursing, 255 Jungang Ro, Suncheon Si 57922, Jeollanam Do, South Korea.</t>
  </si>
  <si>
    <t>ayounghan@scnu.ac.kr</t>
  </si>
  <si>
    <t>DEC 2022</t>
  </si>
  <si>
    <t>WOS:000902005400020</t>
  </si>
  <si>
    <t>Park, Y; Park, S; Lee, MJ</t>
  </si>
  <si>
    <t>Park, Yoonseo; Park, Sewon; Lee, Munjae</t>
  </si>
  <si>
    <t>Digital Health Care Industry Ecosystem: Network Analysis</t>
  </si>
  <si>
    <t>JOURNAL OF MEDICAL INTERNET RESEARCH</t>
  </si>
  <si>
    <t>Background: As the need for digital health care based on mobile devices is increasing, with the rapid development of digital technologies, especially in the face of the COVID-19 pandemic, gaining a better understanding of the industrial structure is needed to activate the use of digital health care. Objective: The aim of this study was to suggest measures to revitalize the digital health care industry by deriving the stakeholders and major issues with respect to the ecosystem of the industry. Methods: A total of 1822 newspaper articles were collected using Big Kings, a big data system for news, for a limited period from 2016 to August 2021, when the mobile health care project was promoted in Korea centered on public health centers. The R and NetMiner programs were used for network analysis. Results: The Korean government and the Ministry of Health and Welfare showed the highest centrality and appeared as major stakeholders, and their common major issues were reviewing the introduction of telemedicine, concerns about bankruptcy of local clinics, and building an integrated platform for precision medicine. In addition, the major stakeholders of medical institutions and companies were Seoul National University Hospital, Kangbuk Samsung Hospital, Ajou University Hospital, Samsung, and Vuno Inc. Conclusions: This analysis confirmed that the issues related to digital health care are largely composed of telemedicine, data, and health care business. For digital health care to develop as a national innovative growth engine and to be institutionalized, the development of a digital health care fee model that can improve the regulatory system and the cost-effectiveness of patient care, centering on the Ministry of Health and Welfare as a key stakeholder, is essential.</t>
  </si>
  <si>
    <t>[Park, Yoonseo] Ajou Univ, Dept BioMed Engn, Suwon, South Korea; [Park, Sewon; Lee, Munjae] Ajou Univ, Dept Med Humanities &amp; Social Med, Sch Med, Suwon, South Korea; [Lee, Munjae] Ajou Univ, Sch Med, Dept Med Humanities &amp; Social Med, 206 World Cup Ro, Suwon 16499, Gyeonggi Do, South Korea</t>
  </si>
  <si>
    <t>Lee, MJ (corresponding author), Ajou Univ, Sch Med, Dept Med Humanities &amp; Social Med, 206 World Cup Ro, Suwon 16499, Gyeonggi Do, South Korea.</t>
  </si>
  <si>
    <t>emunjae@ajou.ac.kr</t>
  </si>
  <si>
    <t>AUG 22</t>
  </si>
  <si>
    <t>WOS:000862887700019</t>
  </si>
  <si>
    <t>Park, MY; Jeong, SH; Kim, HS; Lee, EJ</t>
  </si>
  <si>
    <t>Park, Min Young; Jeong, Seok Hee; Kim, Hee Sun; Lee, Eun Jee</t>
  </si>
  <si>
    <t>Article; Proceedings Paper</t>
  </si>
  <si>
    <t>Yonsei International Nursing Conference</t>
  </si>
  <si>
    <t>NOV, 2021</t>
  </si>
  <si>
    <t>Seoul, SOUTH KOREA</t>
  </si>
  <si>
    <t>Purpose: The aims of study were to identify the main keywords, the network structure, and the main topics of press articles related to nurses that have appeared in media reports. Methods: Data were media articles related to the topic nurse reported in 16 central media within a one-year period spanning July 1, 2019 to June 30, 2020. Data were collected from the Big Kinds database. A total of 7,800 articles were searched, and 1,038 were used for the final analysis. Text network analysis and topic modeling were performed using NetMiner 4.4. Results: The number of media reports related to nurses increased by 3.86 times after the novel coronavirus (COVID-19) outbreak compared to prior. Pre- and post-COVID-19 network characteristics were density 0.002, 0.001; average degree 4.63, 4.92; and average distance 4.25, 4.01, respectively. Four topics were derived before and after the COVID-19 outbreak, respectively. Pre-COVID-19 example topics are a nurse who committed suicide because she could not withstand the Taewoom at work and a nurse as a perpetrator of a newborn abuse case, while post-COVID-19 examples are a nurse as a victim of COVID-19, a nurse working with the support of the people, and a nurse as a top contributor and a warrior to protect from COVID-19. Conclusion: Topic modeling shows that topics become more positive after the COVID-19 outbreak. Individual nurses and nursing organizations should continuously monitor and conduct further research on nurses' image.</t>
  </si>
  <si>
    <t>[Park, Min Young] Jeonbuk Natl Univ Hosp, Dept Nursing, Jeonju, South Korea; [Jeong, Seok Hee; Kim, Hee Sun; Lee, Eun Jee] Jeonbuk Natl Univ, Res Inst Nursing Sci, Coll Nursing, 567 Baekje Daero, Jeonju 54896, South Korea</t>
  </si>
  <si>
    <t>Jeong, SH (corresponding author), Jeonbuk Natl Univ, Res Inst Nursing Sci, Coll Nursing, 567 Baekje Daero, Jeonju 54896, South Korea.</t>
  </si>
  <si>
    <t>WOS:000819133000004</t>
  </si>
  <si>
    <t>Lee, JL; Kim, Y</t>
  </si>
  <si>
    <t>Lee, Jung Lim; Kim, Youngji</t>
  </si>
  <si>
    <t>This study aimed to explore research topic trends on turnover intention among Korean hospital nurses by analyzing the keywords and topics of related articles. Methods: This text-mining study collected, processed, and analyzed text data from 390 nursing articles published between 1 January 2010 and 30 June 2021 that were collected via search engines. The collected unstructured text data were preprocessed, and the NetMiner program was used to perform keyword analysis and topic modeling. Results: The word with the highest degree centrality was job satisfaction, the word with the highest betweenness centrality was job satisfaction, and the word with the highest closeness centrality and frequency was job stress. The top 10 keywords in both the frequency analysis and the 3 centrality analyses included job stress, burnout, organizational commitment, emotional labor, job, and job embeddedness. The 676 preprocessed key words were categorized into five topics: job, burnout, workplace bullying, job stress, and emotional labor. Since many individual-level factors have already been thoroughly investigated, future research should concentrate on enabling successful organizational interventions that extend beyond the microsystem.</t>
  </si>
  <si>
    <t>[Lee, Jung Lim] Daejeon Univ, Dept Nursing, Daejeon Si 34520, South Korea; [Kim, Youngji] Kongju Natl Univ, Coll Nursing &amp; Hlth, Dept Nursing, Kongju Si 32588, South Korea</t>
  </si>
  <si>
    <t>Kim, Y (corresponding author), Kongju Natl Univ, Coll Nursing &amp; Hlth, Dept Nursing, Kongju Si 32588, South Korea.</t>
  </si>
  <si>
    <t>leejl@dju.kr; superdr1@hanmail.net</t>
  </si>
  <si>
    <t>APR</t>
  </si>
  <si>
    <t>WOS:000984042800001</t>
  </si>
  <si>
    <t>Jeon, BJ; Park, KH</t>
  </si>
  <si>
    <t>Jeon, Byoung-Jin; Park, Kang-Hyun</t>
  </si>
  <si>
    <t>INTERNATIONAL JOURNAL OF ENVIRONMENTAL RESEARCH AND PUBLIC HEALTH</t>
  </si>
  <si>
    <t>Objectives: Population aging is a reality in most developed countries. In this era, an important health issue for these countries is promoting health and quality of life in the elderly population. Older adults' social networks are associated with health and quality of life. Therefore, this study examines the association between the characteristics of social networks (friendship networks) and the subjective well-being of community-dwelling older adults. Methods: This study was conducted between June 2015 and August 2015 with a total of 146 participants. The size and density of social networks were analyzed using social network analysis. Additionally, to investigate the impact of social networks on health, a multiple linear regression analysis was performed using NetMiner 4.0. Statistical significance was set at p &lt; 0.05. Results: In terms of Model 1, which used social network characteristics as variables, the higher the out-degree (376.161) and in-closeness (201.825), the better the health. In contrast, the higher the in-degree (-279.167) and out-closeness (-52.620), the poorer the health. Regarding Model 2, which used sociodemographic characteristics as variables, the higher the out-degree (218.747) and in-closeness (170.075), the better the health. In addition, religion had a negative effect on health, and a high level of education had a positive effect on health. Conclusions: The findings suggest that higher out-degree and in-closeness intensity positively affect the health of older adults, but higher in-degree and out-closeness intensity negatively affect health. Therefore, health professionals should use appropriate strategies to increase the strength of social networks to improve the health of older adults living in the community.</t>
  </si>
  <si>
    <t>[Jeon, Byoung-Jin] Kangwon Natl Univ, Dept Occupat Therapy, Samcheok Si 25947, South Korea; [Park, Kang-Hyun] Baekseok Univ, Dept Occupat Therapy, Cheonan Si 31065, South Korea</t>
  </si>
  <si>
    <t>Park, KH (corresponding author), Baekseok Univ, Dept Occupat Therapy, Cheonan Si 31065, South Korea.</t>
  </si>
  <si>
    <t>nomadot@daum.net; kanghyun@bu.ac.kr</t>
  </si>
  <si>
    <t>WOS:000780609700001</t>
  </si>
  <si>
    <t>Ko, J; Paek, S; Park, S; Park, J</t>
  </si>
  <si>
    <t>Ko, Jangwan; Paek, Seungsu; Park, Seoyoon; Park, Jiwoo</t>
  </si>
  <si>
    <t>A News Big Data Analysis of Issues in Higher Education in Korea amid the COVID-19 Pandemic</t>
  </si>
  <si>
    <t>This paper examines the main issues regarding higher education in Korea-where college education experienced minimal interruptions-during the COVID-19 pandemic through a big data analysis of news articles. By analyzing policy responses from the government and colleges and examining prominent discourses on higher education, it provides a context for discussing the implications of COVID-19 on education policy and what the post-pandemic era would bring. To this end, we utilized BIgKinds, a big data research solution for news articles offered by the Korea Press Foundation, to select a total of 2636 media reports and conducted Topic Modelling based on LDA algorithms using NetMiner. The analyses are split into three distinct periods of COVID-19 spread in the country. Some notable topics from the first phase are remote class, tuition refund, returning Chinese international students, and normalization of college education. Preparations for the College Scholastic Ability Test (CSAT), contact and contactless classes, preparations for early admissions, and supporting job market candidates are extracted for the second phase. For the third phase, the extracted topics include CSAT and college-specific exams, quarantine on campus, social relations on campus, and support for job market candidates. The results confirmed widespread public attention to the relevant issues but also showed empirically that the measures taken by the government and college administrations to combat COVID-19 had limited visibility among media reports. It is important to note that timely and appropriate responses from the government and colleges have enabled continuation of higher education in some capacity during the pandemic. In addition to the media's role in reporting issues of public interest, there is also a need for continued research and discussion on higher education amid COVID-19 to help effect actual results from various policy efforts.</t>
  </si>
  <si>
    <t>[Ko, Jangwan; Park, Seoyoon; Park, Jiwoo] Sungkyunkwan Univ, Coll Educ, Seoul 04063, South Korea; [Paek, Seungsu] Gachon Univ, Grad Sch Educ, Seongnam 13120, South Korea</t>
  </si>
  <si>
    <t>Paek, S (corresponding author), Gachon Univ, Grad Sch Educ, Seongnam 13120, South Korea.</t>
  </si>
  <si>
    <t>jakosu@skku.edu; ongang@gachon.ac.kr; pseoyoon@skku.edu; jiwoopark1993@gmail.com</t>
  </si>
  <si>
    <t>JUL</t>
  </si>
  <si>
    <t>WOS:000671131300001</t>
  </si>
  <si>
    <t>Huang, Wencheng; Zhang, Yue; Zuo, Borui; Yu, Yaocheng; De Dieu, Gatesi Jean; Xu, Yifei</t>
  </si>
  <si>
    <t>In order to improve the reliability and safety of railway dangerous goods transportation system (RDGTS), and prevent the similar accidents happened again, an easier operated, dynamic, systemic and quantitative approach called expanded Safety Failure Event Network (SFEN) is proposed to analyze the past typical RDGTS accidents. The expanded SFEN focuses on transfer the traditional safety occurrence process into a visible Accident Analysis Network (AAN) platform. To improve the previous SFEN approach, the risk factors categories are expanded including Human actions, Technical failure, Nature of transported goods, Environment factors, Management failure and External factors of the system. An AAN is established by using the risk factors as the nodes and using the interactions among these risk factors as the edges, the RDGTS risk analysis problem is transferred into a quantitative network structure analysis problem from a network perspective. After that, based on the AAN, TouchGraph and NetMiner are applied to calculate and rank the centrality degree of each sub-risk factor (or subheading) in a network. A RDGTS accident happened in 2001 is analyzed, the results show that TouchGraph and NetMiner can present the same interactions and importance of sub-risk factors (or sub-headings) through visible circle images in the platform, NetMiner is more digital because the results can be presented as the centrality degree values. The greatest contributed sub-risk factors are Equipment maintenance failure and Railway inspection agency failure, followed by cargo packaging problems, illegal entrainment problem. Misbehaves of the freight inspector with centrality degree 0.523810 shows that this sub-heading has the greatest contribution to the accident.</t>
  </si>
  <si>
    <t>[Huang, Wencheng; Zhang, Yue; Zuo, Borui; Yu, Yaocheng; De Dieu, Gatesi Jean; Xu, Yifei] Southwest Jiaotong Univ, Sch Transportat &amp; Logist, Chengdu 611756, Sichuan, Peoples R China; [Huang, Wencheng; Zhang, Yue; Zuo, Borui; Yu, Yaocheng; De Dieu, Gatesi Jean; Xu, Yifei] Southwest Jiaotong Univ, Natl United Engn Lab Intergrated &amp; Intelligent Tr, Chengdu 611756, Sichuan, Peoples R China; [Huang, Wencheng] Southwest Jiaotong Univ, Natl Engn Lab Integrated Transportat Big Data App, Chengdu 611756, Sichuan, Peoples R China</t>
  </si>
  <si>
    <t>Huang, WC (corresponding author), Southwest Jiaotong Univ, Sch Transportat &amp; Logist, Chengdu 611756, Sichuan, Peoples R China.</t>
  </si>
  <si>
    <t>1261992248@qq.com</t>
  </si>
  <si>
    <t>10.1016/j.jlp.2020.104122</t>
  </si>
  <si>
    <t>WOS:000536925600053</t>
  </si>
  <si>
    <t>Kim, J; Kim, MS</t>
  </si>
  <si>
    <t>Kim, Jihyun; Kim, Mi So</t>
  </si>
  <si>
    <t>[Kim, Jihyun] Sahmyook Univ, Seoul, South Korea; [Kim, Mi So] Shinhan Univ, Gyeonggi do, South Korea; [Kim, Mi So] Shinhan Univ, Coll Nursing, Bulma Ro 30, Dongducheon Si, Gyeonggi Do, South Korea</t>
  </si>
  <si>
    <t>Kim, MS (corresponding author), Shinhan Univ, Coll Nursing, Bulma Ro 30, Dongducheon Si, Gyeonggi Do, South Korea.</t>
  </si>
  <si>
    <t>WOS:000928080400001</t>
  </si>
  <si>
    <t>Park, EJ; Kim, Y; Park, CS</t>
  </si>
  <si>
    <t>Park, Eun-Jun; Kim, Youngji; Park, Chan Sook</t>
  </si>
  <si>
    <t>A Comparison of Hospice Care Research Topics between Korea and Other Countries Using Text Network Analysis</t>
  </si>
  <si>
    <t>Purpose: This study aimed to identify and compare hospice care research topics between Korean and intemational nursing studies using text network analysis. Methods: The study was conducted in four steps: 1) collecting abstracts of relevant journal articles, 2) extracting and cleaning keywords (semantic morphemes) from the abstracts, 3) developing co-occurrence matrices and text-networks of keywords, and 4) analyzing network-related measures including degree centrality, closeness centrality, betweenness centrality, and clustering using the NetMiner program. Abstracts from 347 Korean and 1,926 international studies for the period of 1998-2016 were analyzed. Results: Between Korean and international studies, six of the most important core keywords-hospice, patient, death, RNs, care, and family-were common, whereas cancer from Korean studies and palliative care from international studies ranked more highly. Keywords such as attitude, spirituality, life, effect, and meaning for Korean studies and communication, treatment, USA, and doctor for international studies uniquely emerged as core keywords in recent studies (2011 similar to 2016). Five subtopic groups each were identified from Korean and international studies. Two common subtopics were hospice palliative care and volunteers and cancer patients. Conclusion: For a better quality of hospice care in Korea, it is recommended that nursing researchers focus on study topics of patients with non-cancer disease, children and family, communication, and pain and symptom management.</t>
  </si>
  <si>
    <t>[Park, Eun-Jun] Konkuk Univ, Dept Nursing, Glocal Campus, Chungju, South Korea; [Kim, Youngji] Gachon Univ, Coll Nursing, Incheon, South Korea; [Park, Chan Sook] Konkuk Univ, Grad Sch, Dept Nursing, Glocal Campus, Chungju, South Korea</t>
  </si>
  <si>
    <t>Park, CS (corresponding author), Konkuk Univ, Grad Sch, Dept Nursing, 268 Chungwon Daero, Chungju 27478, South Korea.</t>
  </si>
  <si>
    <t>sook706@hanmail.net</t>
  </si>
  <si>
    <t>WOS:000415783100003</t>
  </si>
  <si>
    <t>Park, CS; Park, EJ</t>
  </si>
  <si>
    <t>Park, Chan Sook; Park, Eun-Jun</t>
  </si>
  <si>
    <t>Identification of of Knowledge Structure of Pain Management Nursing Research Applying Text Network Analysis</t>
  </si>
  <si>
    <t>Purpose: This study aimed to explore and compare the knowledge structure of pain management nursing research, between Korea and other countries, applying a text network analysis. Methods: 321 Korean and 6,685 international study abstracts of pain management, published from 2004 to 2017, were collected. Keywords and meaningful morphemes from the abstracts were analyzed and refined, and their co-occurrence matrix was generated. Two networks of 140 and 424 keywords, respectively, of domestic and international studies were analyzed using NetMiner 4.3 software for degree centrality, closeness centrality, betweenness centrality, and eigenvector community analysis. Results: In both Korean and international studies, the most important, core-keywords were pain, patient, pain management, registered nurses, care, cancer, need, analgesia, assessment and surgery. While some keywords like 'education, knowledge, and patient-controlled analgesia found to be important in Korean studies; treatment hospice palliative care, and children were critical keywords in international studies. Three common sub-topic groups found in Korean and international studies were pain and accompanying symptoms, target groups of pain management, and RNs performance of pain management. It is only in recent years (201617), that keywords such as performance, attitude, depression, and sleep have become more important in Korean studies than, while keywords such as assessment, intervention, analgesia, and chronic pain have become important in international studies. Conclusion: It is suggested that Korean pain-management researchers should expand their concerns to children and adolescents, the elderly, patients with chronic pain, patients in diverse healthcare settings, and patients' use of opioid analgesia. Moreover, researchers need to approach pain-management with a quality of life perspective rather than a mere focus on individual symptoms.</t>
  </si>
  <si>
    <t>[Park, Chan Sook; Park, Eun-Jun] Konkuk Univ Glocal Campus, Dept Nursing, 268 Chungwon Dearo, Chungju 27478, South Korea</t>
  </si>
  <si>
    <t>Park, EJ (corresponding author), Konkuk Univ Glocal Campus, Dept Nursing, 268 Chungwon Dearo, Chungju 27478, South Korea.</t>
  </si>
  <si>
    <t>eunjunp@kku.ac.kr</t>
  </si>
  <si>
    <t>10.4040/jkan.2019.49.5.538</t>
  </si>
  <si>
    <t>WOS:000493986000004</t>
  </si>
  <si>
    <t>Park, S; Park, J</t>
  </si>
  <si>
    <t>Park, Sooyeon; Park, Jinkyung</t>
  </si>
  <si>
    <t>[Park, Sooyeon] Korea Univ, Coll Nursing, Seoul 02841, South Korea; [Park, Jinkyung] Chonnam Natl Univ, Coll Nursing, Gwangju 61469, South Korea</t>
  </si>
  <si>
    <t>Park, J (corresponding author), Chonnam Natl Univ, Coll Nursing, Gwangju 61469, South Korea.</t>
  </si>
  <si>
    <t>isypark@korea.ac.kr; carpe@jnu.ac.kr</t>
  </si>
  <si>
    <t>WOS:000694150800001</t>
  </si>
  <si>
    <t>Kim, YS; Lee, SK</t>
  </si>
  <si>
    <t>Kim, Young-Su; Lee, Soo-Kyoung</t>
  </si>
  <si>
    <t>Analysis of Research on Nurses' Job Stress Using Network Analysis</t>
  </si>
  <si>
    <t>WESTERN JOURNAL OF NURSING RESEARCH</t>
  </si>
  <si>
    <t>This study established a network related to nurses' job stress by conducting a social network analysis of titles, keywords, and abstracts, and it identified emerging topics of research. NetMiner 4.0 visualized an interconnection between critical keywords and investigated their frequency of appearance to construe the trends in nurses' job stress measures used in studies conducted over 55 years (1960-2015). Text Rank Analyzer examined a collection of 9,218 keywords from 2,662 studies. The analysis revealed four groups of newly emerging keywords in the research. The following five clusters were identified: concept, subject, method and tool, outcome and response, and solution and management. Thus, if new researchers refer to existing trends to establish the subject of their study, replication studies can be reduced, and the direction of the development of future research on nurses' job stress can be predicted. Further application of new interventions, development of objective indicators, working environment, and broader participants are needed.</t>
  </si>
  <si>
    <t>[Kim, Young-Su; Lee, Soo-Kyoung] Keimyung Univ, Daegu, South Korea</t>
  </si>
  <si>
    <t>Lee, SK (corresponding author), Keimyung Univ, Coll Nursing, 1095 Dalgubeol Daero, Daegu 42601, South Korea.</t>
  </si>
  <si>
    <t>soo1005@kmu.ac.kr</t>
  </si>
  <si>
    <t>WOS:000458876200002</t>
  </si>
  <si>
    <t>Kim, Joo Young; Kim, Young Ook</t>
  </si>
  <si>
    <t>[Kim, Joo Young; Kim, Young Ook] Sejong Univ, Dept Architecture, Seoul, South Korea</t>
  </si>
  <si>
    <t>Kim, YO (corresponding author), Sejong Univ, 98 Kunjadong Gwangjin Gu, Seoul 05006, South Korea.</t>
  </si>
  <si>
    <t>yokim@sejong.ac.kr</t>
  </si>
  <si>
    <t>SI</t>
  </si>
  <si>
    <t>10.1177/1420326X17732612</t>
  </si>
  <si>
    <t>WOS:000523823500009</t>
  </si>
  <si>
    <t>Lee, Soo-Kyoung; Hong, Hye Sun</t>
  </si>
  <si>
    <t>[Lee, Soo-Kyoung; Hong, Hye Sun] Keimyung Univ, Coll Nursing, Daegu, South Korea</t>
  </si>
  <si>
    <t>Lee, SK (corresponding author), Keimyung Univ, Coll Nursing, Daegu, South Korea.</t>
  </si>
  <si>
    <t>soo1005s@gmail.com</t>
  </si>
  <si>
    <t>DEC 2020</t>
  </si>
  <si>
    <t>WOS:000596469900001</t>
  </si>
  <si>
    <t>Zhou, K; Yan, C; Xu, Y</t>
  </si>
  <si>
    <t>Zhou, Kuang; Yan, Chen; Xu, Yong</t>
  </si>
  <si>
    <t>The vulnerability of communities in complex networks: A causal perspective on dynamic retentivity</t>
  </si>
  <si>
    <t>RELIABILITY ENGINEERING &amp; SYSTEM SAFETY</t>
  </si>
  <si>
    <t>removing</t>
  </si>
  <si>
    <t>[Zhou, Kuang; Yan, Chen; Xu, Yong] Northwestern Polytech Univ, Sch Math &amp; Stat, Xian 710129, Shaanxi, Peoples R China; [Zhou, Kuang; Xu, Yong] Northwestern Polytech Univ, MOE Key Lab Complex Sci Aerosp, Xian 710129, Peoples R China</t>
  </si>
  <si>
    <t>Zhou, K (corresponding author), Northwestern Polytech Univ, Sch Math &amp; Stat, Xian 710129, Shaanxi, Peoples R China.</t>
  </si>
  <si>
    <t>kzhoumath@nwpu.edu.cn; 2021204670@mail.nwpu.edu.cn; hsux3@nwpu.edu.cn</t>
  </si>
  <si>
    <t>10.1016/j.ress.2025.111171</t>
  </si>
  <si>
    <t>MAY 2025</t>
  </si>
  <si>
    <t>WOS:001492650900002</t>
  </si>
  <si>
    <t>Zhu, R; Li, LH</t>
  </si>
  <si>
    <t>Zhu, Rui; Li, Lihong</t>
  </si>
  <si>
    <t>KYBERNETES</t>
  </si>
  <si>
    <t>PurposeIn the context of Industry 4.0, intelligent construction technologies (ICT) represented by information technology and networking will undoubtedly provide new impetus to the development of the prefabricated building supply chain (PBSC), but they will also bring various potential risks. So far, there is a large lack of research on the comprehensive consideration of the risks associated with the intelligent transformation of PBSC based on the information sharing perspective, and the critical risks and interactions are still unclear, making it difficult to identify efficient risk mitigation strategies. Therefore, this paper aims to reveal the interactions between stakeholders and clarify the critical risk nodes and interactions in information sharing of PBSC (IS-PBSC), and propose targeted risk mitigation strategies.Design/methodology/approachFirstly, this paper creatively delineates the risks and critical stakeholders of IS-PBSC. Secondly, Data is collected through questionnaires to understand the degree of risks impact. Thirdly, with the help of NetMiner 4 software, social network analysis is conducted and IS-PBSC risk network is established to reveal critical risk nodes and interactions. Finally, further targeted discussion of critical risk nodes, the effectiveness and reasonableness of the risk mitigation strategies are proposed and verified through NetMiner 4 software simulation.FindingsThe results show that the critical risks cover the entire process of information sharing, with the lack of information management norms and other information assurance-related risks accounting for the largest proportion. In addition, the government dominates in risk control, followed by other stakeholders. The implementation of risk mitigation strategies is effective, with the overall network density reduced by 41.15% and network cohesion reduced by 24%.Research limitations/implicationsIn the context of Industry 4.0, ICT represented by information technology and networking will undoubtedly provide new impetus to the development of the PBSC, but they will also bring various potential risks. So far, there is a large lack of research on the comprehensive consideration of the risks associated with the intelligent transformation of PBSC based on the information sharing perspective, and the critical risks and interactions are still unclear, making it difficult to identify efficient risk mitigation strategies.Originality/valueBased on the results of risk network visualization analysis, this paper proposes an ICT-based IS-PBSC mechanism that promotes the development of the integration of ICT and PBSC while safeguarding the benefits of various stakeholders.</t>
  </si>
  <si>
    <t>[Zhu, Rui; Li, Lihong] Shenyang Jianzhu Univ, Sch Management, Shenyang, Peoples R China</t>
  </si>
  <si>
    <t>Li, LH (corresponding author), Shenyang Jianzhu Univ, Sch Management, Shenyang, Peoples R China.</t>
  </si>
  <si>
    <t>lilihong@sjzu.edu.cn</t>
  </si>
  <si>
    <t>OCT 14</t>
  </si>
  <si>
    <t>APR 2024</t>
  </si>
  <si>
    <t>WOS:001208132700001</t>
  </si>
  <si>
    <t>Sun, Yao; Shao, Yiwen; Chan, Edwin H. W.</t>
  </si>
  <si>
    <t>Co-visitation network in tourism-driven peri-urban area based on social media analytics: A case study in Shenzhen, China</t>
    <phoneticPr fontId="7" type="noConversion"/>
  </si>
  <si>
    <t>[Sun, Yao] Jinan Univ, Shenzhen Tourism Coll, Shenzhen 518053, Guangdong, Peoples R China; [Shao, Yiwen] Shenzhen Univ, Sch Architecture &amp; Urban Planning, Shenzhen 518061, Guangdong, Peoples R China; [Chan, Edwin H. W.] Hong Kong Polytech Univ, Dept Bldg &amp; Real Estate, Hong Kong, Peoples R China</t>
  </si>
  <si>
    <t>Shao, YW (corresponding author), Shenzhen Univ, Sch Architecture &amp; Urban Planning, Shenzhen 518061, Guangdong, Peoples R China.</t>
  </si>
  <si>
    <t>sunyao@sz.jnu.edu.cn; yiwenshao@szu.edu.cn; bsedchan@polyu.edu.hk</t>
  </si>
  <si>
    <t>10.1016/j.landurbplan.2020.103934</t>
  </si>
  <si>
    <t>WOS:000579383300009</t>
  </si>
  <si>
    <t>Lee, HJ; Kim, I</t>
  </si>
  <si>
    <t>Lee, HeeJeong Jasmine; Kim, In</t>
  </si>
  <si>
    <t>KSII TRANSACTIONS ON INTERNET AND INFORMATION SYSTEMS</t>
  </si>
  <si>
    <t>[Lee, HeeJeong Jasmine; Kim, In] PyeongTaek Univ, Pierson Coll, Pyeongtaek, South Korea</t>
  </si>
  <si>
    <t>Kim, I (corresponding author), PyeongTaek Univ, Pierson Coll, Pyeongtaek, South Korea.</t>
  </si>
  <si>
    <t>hjlee@ptu.ac.kr; kimin@ptu.ac.kr</t>
  </si>
  <si>
    <t>OCT 31</t>
  </si>
  <si>
    <t>10.3837/tiis.2021.10.006</t>
  </si>
  <si>
    <t>WOS:000714446400006</t>
  </si>
  <si>
    <r>
      <t xml:space="preserve">cyram </t>
    </r>
    <r>
      <rPr>
        <sz val="10"/>
        <rFont val="맑은 고딕"/>
        <family val="2"/>
        <charset val="129"/>
      </rPr>
      <t>인용</t>
    </r>
    <phoneticPr fontId="7" type="noConversion"/>
  </si>
  <si>
    <t>Yun, SY; Song, MO</t>
  </si>
  <si>
    <t>Yun, So Young; Song, Mi Ok</t>
  </si>
  <si>
    <t>Unmet Healthcare Needs in COPD: A Text Network Analysis and Topic Modeling of Pre/Post-COVID-19 Research Trends</t>
  </si>
  <si>
    <t>Highlights What are the main findings? Research on COPD increasingly recognizes that patients face barriers not only in treatment but also in diagnosis, rehabilitation, and access to medicines. Since COVID-19, studies have shifted toward digital tools, remote support, and fairer access to medication and services. What are the implications of the main findings? Improving care for people with COPD means building health systems that see the whole person-addressing medical needs alongside access, affordability, and support. Expanding digital care options, strengthening rehabilitation programs, and ensuring fair access to treatment can help people with COPD live healthier, more stable lives.Highlights What are the main findings? Research on COPD increasingly recognizes that patients face barriers not only in treatment but also in diagnosis, rehabilitation, and access to medicines. Since COVID-19, studies have shifted toward digital tools, remote support, and fairer access to medication and services. What are the implications of the main findings? Improving care for people with COPD means building health systems that see the whole person-addressing medical needs alongside access, affordability, and support. Expanding digital care options, strengthening rehabilitation programs, and ensuring fair access to treatment can help people with COPD live healthier, more stable lives.Abstract Background/Objectives: Unmet healthcare needs, driven by structural and patient-level barriers, are particularly critical in chronic obstructive pulmonary disease (COPD). However, limited research has examined how academic themes on this topic connect and evolve over time. This study analyzed the structure and temporal shifts in research trends on unmet healthcare needs in COPD to identify key concepts and topics and policy implications. Methods: We systematically searched PubMed, Embase, and CINAHL (12-15 March 2025) to identify English-language abstracts on unmet healthcare needs in COPD. Eligible studies were peer-reviewed articles with an English-language abstract that examined unmet healthcare needs from the patient perspective. In total, 451 abstracts were analyzed using text network analysis and Latent Dirichlet Allocation. Topic distributions before and after the coronavirus disease pandemic were assessed using chi-square tests, and findings were interpreted within Penchansky and Thomas's 5A healthcare access framework. Results: Six topics emerged: socioeconomic disparities, early diagnosis and symptom management, guideline-based information and technology use, integrated care for advanced COPD, access to pulmonary rehabilitation, and equitable medication availability. These topics mapped onto all five access dimensions, underscoring the multidimensional nature of unmet healthcare needs. Network analysis identified management, diagnosis, symptoms, exacerbation, and other related terms as central hubs in the discourse. Post-pandemic, research shifted toward digital information delivery, technology adoption, and equitable pharmacotherapy. Conclusions: Findings suggest that reducing unmet healthcare needs in COPD requires integrated systems that address both disease complexity and access barriers. Targeted, multidisciplinary, and policy-driven interventions in highly central domains are needed to reduce disparities and improve outcomes. This study also confirmed a post-pandemic shift in research priorities, emphasizing the need for equitable and adaptive healthcare policies.</t>
  </si>
  <si>
    <t>[Yun, So Young] Nambu Univ, Dept Nursing, Gwangju 62271, South Korea; [Song, Mi Ok] Mokpo Natl Univ, Dept Nursing, Muan 58554, South Korea</t>
  </si>
  <si>
    <t>Song, MO (corresponding author), Mokpo Natl Univ, Dept Nursing, Muan 58554, South Korea.</t>
  </si>
  <si>
    <t>yunsy@nambu.ac.kr; coffeesong@mnu.ac.kr</t>
  </si>
  <si>
    <t>DEC 29</t>
  </si>
  <si>
    <t>10.3390/healthcare14010082</t>
  </si>
  <si>
    <t>WOS:001657361300001</t>
  </si>
  <si>
    <t>Kim, J; Chun, J</t>
  </si>
  <si>
    <t>Kim, Jinyung; Chun, Jongserl</t>
  </si>
  <si>
    <t>Korean adolescent's cigarette, e-cigarette, and dual use within the peer network context: A mixed methods study</t>
  </si>
  <si>
    <t>JOURNAL OF HUMAN BEHAVIOR IN THE SOCIAL ENVIRONMENT</t>
  </si>
  <si>
    <t>Article; Early Access</t>
  </si>
  <si>
    <t>The current study aims to investigate the relationship between peer network and smoking behavior, taking into account the structural, positional, and contextual aspects of the network. Using an explanatory sequential mixed methods design, a total of 73 Korean adolescents participated in the survey and seven current smokers from three sub-networks were invited for individual qualitative interviews. The quantitative findings revealed that out-degree centrality was associated with ever cigarette use and dual use, while betweenness centrality was related to ever cigarette use only. In the qualitative strand, three themes were identified: Fully assimilating into the mainstream, forced to stay within the boundary, and being introduced to new items and culture through the information network. The integrated findings provided deeper context and reasons for a higher in-degree centrality for dual-user network and a higher out-degree centrality for out-of-school adolescent network, the social hierarchy of adolescents in relation to cohesion index and clustering coefficient, and the type of information shared within the network. This study identified vulnerable individuals and groups in the peer network with regard to smoking and explored the smoking norms and culture of Korean adolescents within the network structure.</t>
  </si>
  <si>
    <t>[Kim, Jinyung] Univ Maryland, Sch Social Work, Baltimore, MD USA; [Chun, Jongserl] Ewha Womans Univ, Dept Social Welf, Seoul, South Korea</t>
  </si>
  <si>
    <t>Kim, J (corresponding author), Univ Oklahoma, Anne &amp; Henry Zarrow Sch Social Work, 700 Elm Ave,Zarrow Hall, Norman, OK 73069 USA.</t>
  </si>
  <si>
    <t>jinyung.kim-1@ou.edu</t>
  </si>
  <si>
    <t>2025 AUG 25</t>
  </si>
  <si>
    <t>10.1080/10911359.2025.2548550</t>
  </si>
  <si>
    <t>AUG 2025</t>
  </si>
  <si>
    <t>WOS:001556697000001</t>
  </si>
  <si>
    <t>Park, KR; Lee, K; Park, S</t>
  </si>
  <si>
    <t>Park, Keon-Ryeong; Lee, Kyunghwa; Park, Sukyoung</t>
  </si>
  <si>
    <t>An Analysis of Publications in Early Childhood Education Journal Through LDA Topic Modeling: Exploring Research Trends From 2000 to 2023</t>
  </si>
  <si>
    <t>EARLY CHILDHOOD EDUCATION JOURNAL</t>
  </si>
  <si>
    <t>Review; Early Access</t>
  </si>
  <si>
    <t>This study applied Blei et al.'s (Journal of Machine Learning Research 3:993-1022, 2003) Latent Dirichlet Allocation (LDA) topic modeling to analyze 1,727 research articles published in Early Childhood Education Journal (ECEJ) from 2000 to 2023. LDA is a probability-based analysis model effective for discovering hidden topics within large sets of textual data. The purpose of this study was to identify underlying research trends and thematic shifts in ECEJ publications during this period by examining trends in publication numbers, keyword frequencies, and topic emergence. The analysis results revealed a significant increase in published papers during the 2020-2023 period, with 2023 recording the highest number of publications. Keyword frequency analysis identified young children, teachers, and preschools as the three most frequently used keywords, underscoring a consistent focus on children in their early years, their educators, and educational settings. Trends in research topics highlighted an enduring focus on Reading and Young Children's Literature, the most dominant topic over the past 24 years, reflecting the connections to federal and state educational policies promoting early reading and literacy. Additionally, the analysis demonstrated the impact of the COVID-19 pandemic on research priorities, with Teacher Perceptions and Distance Education during COVID-19 emerging as the second most prevalent topic since 2000. The article concludes by discussing implications for future directions in early childhood research.</t>
  </si>
  <si>
    <t>[Park, Keon-Ryeong] Korea Natl Univ Educ, Res Inst Early Childhood Educ, 250 Taeseongtabyeon Ro,Gangnae Myeon, Cheongju, South Korea; [Lee, Kyunghwa] Univ Georgia, Dept Educ Theory &amp; Practice, 110 Carlton St, Athens, GA 30602 USA; [Park, Sukyoung] Konkuk Univ, Dept Educ Technol, 120 Neungdong Ro, Seoul 05029, South Korea</t>
  </si>
  <si>
    <t>Park, S (corresponding author), Konkuk Univ, Dept Educ Technol, 120 Neungdong Ro, Seoul 05029, South Korea.</t>
  </si>
  <si>
    <t>parksk@konkuk.ac.kr</t>
  </si>
  <si>
    <t>2025 JUN 12</t>
  </si>
  <si>
    <t>10.1007/s10643-025-01932-9</t>
  </si>
  <si>
    <t>JUN 2025</t>
  </si>
  <si>
    <t>WOS:001506957700001</t>
  </si>
  <si>
    <t>Siudak, D</t>
  </si>
  <si>
    <t>Siudak, Dariusz</t>
  </si>
  <si>
    <t>The dependency structure of the financial multiplex network model: New evidence from the cross-correlation of idiosyncratic returns, volatility, and trading volume</t>
  </si>
  <si>
    <t>This work describes the design of a novel financial multiplex network composed of three layers obtained by applying the MST-based cross-correlation network, using the data from 465 companies listed on the US market. The study employs a combined approach of complex multiplex networks, to examine the statistical properties of asset interdependence within the financial market. In addition, it performs an extensive analysis of both the similarities and the differences between this financial multiplex network, its individual layers, and the commonly studied stock return network. The results highlight the importance of the financial multiplex network, demonstrating that its network layers offer unique information within the multiplex dataset. Empirical analysis reveals dissimilarities between the financial multiplex network and the stock return monoplex network, indicating that the two networks provide distinct insights into the structure of the stock market. Furthermore, the financial multiplex network outperforms the singleplex network of stock returns because it has a structure that better determines the future Sharpe ratio. These findings add substantially to our understanding of the financial market system in which multiple types of relationship among financial assets play an important role.</t>
  </si>
  <si>
    <t>[Siudak, Dariusz] Lodz Univ Technol, Inst Management, Div Econ &amp; Finance, Lodz, Poland</t>
  </si>
  <si>
    <t>Siudak, D (corresponding author), Lodz Univ Technol, Inst Management, Div Econ &amp; Finance, Lodz, Poland.</t>
  </si>
  <si>
    <t>dariusz.siudak@p.lodz.pl</t>
  </si>
  <si>
    <t>e0320799</t>
  </si>
  <si>
    <t>10.1371/journal.pone.0320799</t>
  </si>
  <si>
    <t>WOS:001489628200016</t>
  </si>
  <si>
    <t>Chang, SM</t>
  </si>
  <si>
    <t>Chang, Saemi</t>
  </si>
  <si>
    <t>Interorganizational networks in dynamics of disaster: Comprehensive approach to network effectiveness</t>
  </si>
  <si>
    <t>JOURNAL OF CONTINGENCIES AND CRISIS MANAGEMENT</t>
  </si>
  <si>
    <t>Governments grapple with the challenges of uncertainty and complexity in disasters due to interconnected actors. This research explores how government organizations can effectively operate during disasters. Two aspects of network effectiveness-structural and procedural approaches-are considered. The structural approach emphasizes the network stability, while the procedural approach focuses on the process of network evolution. Analysing and comparing response networks from two earthquakes in Korea, a crucial environmental change-government reorganization-between them was identified. This allowed to assess how environmental changes impact network effectiveness. The findings suggest that effective disaster management requires complementing centralized authority with actual power distribution, empowering subnetwork groups as centres of common knowledge base, and emphasizing coordination among organizations with diverse expertise.</t>
  </si>
  <si>
    <t>[Chang, Saemi] Korea Univ, Grad Sch Energy &amp; Environm, Seoul 02841, South Korea; Korea Univ, Grad Sch Energy &amp; Environm, KU KIST Green Sch, KU R&amp;D Ctr, 145 Anam Ro, Seoul 02841, South Korea</t>
  </si>
  <si>
    <t>Chang, SM (corresponding author), Korea Univ, Grad Sch Energy &amp; Environm, Seoul 02841, South Korea.</t>
  </si>
  <si>
    <t>saemi_chang@korea.ac.kr</t>
  </si>
  <si>
    <t>FEB 11</t>
  </si>
  <si>
    <t>e12544</t>
  </si>
  <si>
    <t>10.1111/1468-5973.12544</t>
  </si>
  <si>
    <t>WOS:001160343000001</t>
  </si>
  <si>
    <t>Lee, MS; Lee, S</t>
  </si>
  <si>
    <t>Lee, Myeong Seon; Lee, Seonah</t>
  </si>
  <si>
    <t>Exploring the Knowledge Structures of Korean and International Nursing Research on Premature Infants Using Text Network Analysis</t>
  </si>
  <si>
    <t>This study aimed to identify the knowledge structures of Korean and international nursing studies on premature infants using text network analysis, which represents a text as a network graph that describes how keywords are linked. This network graph refers to a knowledge structure. International and Korean journal databases were searched to extract nursing studies regarding premature infants published in academic journals from 1998 to 2020. Abstracts from the selected studies were analyzed using the following four steps: word extraction and refinement, keyword extraction, co-occurrence matrix generation, and text network visualization. The results demonstrated that 182 Korean and 2502 international studies were published. The common keywords of Korean and international studies were kangaroo mother care, stress, and child. The keywords of the international studies had more branches linking to other keywords than those of the Korean studies. Thus, the knowledge structure of international studies included diverse concepts. These findings will serve as important guidance for future research worldwide. Furthermore, studies to develop a more comprehensive knowledge structure of international research on premature infants are needed. The knowledge structure of Korean studies mainly included concepts related to mothers. Korean studies regarding hospitalized premature infants and communication with parents need to be conducted.</t>
  </si>
  <si>
    <t>[Lee, Myeong Seon] Nambu Univ, Dept Nursing, Gwangju, South Korea; [Lee, Seonah] Chonnam Natl Univ, Coll Nursing, 160 Baekseo Ro, Gwangju 61469, South Korea</t>
  </si>
  <si>
    <t>Lee, S (corresponding author), Chonnam Natl Univ, Coll Nursing, 160 Baekseo Ro, Gwangju 61469, South Korea.</t>
  </si>
  <si>
    <t>kjagape@nambu.ac.kr; ah7909@hotmail.com</t>
  </si>
  <si>
    <t>10.1097/CIN.0000000000001032</t>
  </si>
  <si>
    <t>WOS:001155705500004</t>
  </si>
  <si>
    <t>Jin, X; Shen, GF; Luo, LZ; Zhou, X</t>
  </si>
  <si>
    <t>Jin, Xin; Shen, Geoffrey; Luo, Lizi; Zhou, Xin</t>
  </si>
  <si>
    <t>Influence of policies on stakeholders to drive the success of modular integrated construction in Hong Kong</t>
  </si>
  <si>
    <t>ENGINEERING CONSTRUCTION AND ARCHITECTURAL MANAGEMENT</t>
  </si>
  <si>
    <t>PurposeModular integrated construction (MiC) is an innovative and effective manufacturing-based method of construction that has become the mainstream development direction of projects in Hong Kong (HK). However, large-scale promotion of MiC practice still needs efforts. A pressing concern is that the impact of relevant policies on stakeholders during project implementation is rarely explored in depth. Therefore, to fill the research gap, this study aims to investigate the influence of policies on stakeholders to drive the successful implementation of MiC in HK.Design/methodology/approachThis study uses a strategy of multiple methods. First, a comprehensively literature review and survey were adopted to identify critical policies and stakeholders. Second, semi-structured interviews with 28 experts were conducted to quantify their relationships. Third, three policy-stakeholder networks at initiation, planning and design and construction stages were established using social network analysis.FindingsEnvironmental protection policy, COVID-19 pandemic policy and environmental protection policy and quality acceptance standard for project completion are found to be the most important policies of the three stages, respectively. The HK government and developers are highlighted as prominent stakeholders influencing policy implementation at all three stages. The dynamics of the influence stakeholders receive from critical policies at different stages of MiC are discussed. Valuable recommendations are accordingly proposed to enhance the successful implementation of MiC projects from the perspective of various stakeholders.Originality/valueThis study contributes to the body of knowledge by considering the mediating influence of stakeholders during policy implementation in the MiC uptake, and is valuable in helping policymakers to deeply understand the influence of policies to further forward successful MiC implementation and practicality in HK.</t>
  </si>
  <si>
    <t>[Jin, Xin; Shen, Geoffrey; Zhou, Xin] Hong Kong Polytech Univ, Dept Bldg &amp; Real Estate, Kowloon, Hong Kong, Peoples R China; [Luo, Lizi] Wuhan Univ, Sch Econ &amp; Management, Wuhan, Peoples R China</t>
  </si>
  <si>
    <t>Luo, LZ (corresponding author), Wuhan Univ, Sch Econ &amp; Management, Wuhan, Peoples R China.</t>
  </si>
  <si>
    <t>lizi.luo@whu.edu.cn</t>
  </si>
  <si>
    <t>MAY 1</t>
  </si>
  <si>
    <t>10.1108/ECAM-07-2023-0740</t>
  </si>
  <si>
    <t>JAN 2024</t>
  </si>
  <si>
    <t>WOS:001146874600001</t>
  </si>
  <si>
    <t>Im, DH; Chung, JB</t>
  </si>
  <si>
    <t>Im, Dong-Hyeon; Chung, Ji-Bum</t>
  </si>
  <si>
    <t>Social construction of fire accidents in battery energy storage systems in Korea</t>
  </si>
  <si>
    <t>JOURNAL OF ENERGY STORAGE</t>
  </si>
  <si>
    <t>Renewable energy (RE) has the potential to become an essential part of the national policy for energy transition. The government of the Republic of Korea has sought to solve the problem of RE intermittency and achieve flexible grid management by leveraging a powerful policy drive for battery energy storage system (B-ESS) technology. However, from 2017 to 2019, over two dozen B-ESS fire accidents occurred across Korea. Consecutive fires in B-ESSs, which were expected to be game-changers in energy transition, have instead become an issue of social concern. This study aims to analyze the influence of various social factors on fire accidents, for which previous studies could not provide sufficient explanation. A literature analysis and qualitative interviews revealed the social construction process of B-ESS fires through stakeholder interaction. The economic incentive schemes of B-ESS and insufficient safety regulations has had a significant influence on the interactions of relevant social groups (RSGs), and several factors in the environment, organizations, and cognition/choice of RSGs have exacerbated fire risks. This research provides a clearer understanding of the adverse outcomes of adopting new energy technologies.</t>
  </si>
  <si>
    <t>[Im, Dong-Hyeon; Chung, Ji-Bum] Ulsan Natl Inst Sci &amp; Technol, Sch Urban &amp; Environm Engn, 50 Unist gil, Ulsan 44919, South Korea</t>
  </si>
  <si>
    <t>Chung, JB (corresponding author), Ulsan Natl Inst Sci &amp; Technol, Sch Urban &amp; Environm Engn, 50 Unist gil, Ulsan 44919, South Korea.</t>
  </si>
  <si>
    <t>learning@unist.ac.kr</t>
  </si>
  <si>
    <t>NOV 1</t>
  </si>
  <si>
    <t>10.1016/j.est.2023.108192</t>
  </si>
  <si>
    <t>JUL 2023</t>
  </si>
  <si>
    <t>WOS:001032264200001</t>
  </si>
  <si>
    <t>Ahn, EY; Kim, SY</t>
  </si>
  <si>
    <t>Ahn, Eun-Young; Kim, Seong-Yong</t>
  </si>
  <si>
    <t>Digital Twin Application and Bibliometric Analysis for Digitization and Intelligence Studies in Geology and Deep Underground Research Areas</t>
  </si>
  <si>
    <t>DATA</t>
  </si>
  <si>
    <t>As deep underground digital twins have not yet been established worldwide, this study extracted keywords from national or city-led digital twin practices and elements of digital twins and through these keywords selected research papers and topics that could contribute to the establishment of deep underground digital twins in the future. We applied the concept of digital twins in geology and underground research to collect 1702 papers from the Web of Science and conducted semantic network analysis and topic modeling. The keywords digital, three dimensions, and real time were placed in the middle and have many links in the word network. Artificial intelligence, deep learning, and neural networks all showed a low degree of centrality. As a result of topic modeling using Latent Dirichlet allocation (LDA), topics related to topography, geological structure, and rock distribution, which are the basic data for building a deep underground digital twin, were noted, and topics related to earthquakes/vibrations, landslides, groundwater, and volcanoes were identified. Energy resources and space utilization have emerged as the main themes.</t>
  </si>
  <si>
    <t>[Ahn, Eun-Young; Kim, Seong-Yong] Korea Inst Geosci &amp; Mineral Resources KIGAM, Future Geostrategy Res Ctr, 124 Gwahang No, Daejeon 34132, South Korea</t>
  </si>
  <si>
    <t>Ahn, EY (corresponding author), Korea Inst Geosci &amp; Mineral Resources KIGAM, Future Geostrategy Res Ctr, 124 Gwahang No, Daejeon 34132, South Korea.</t>
  </si>
  <si>
    <t>eyahn@kigam.re.kr</t>
  </si>
  <si>
    <t>10.3390/data8040073</t>
  </si>
  <si>
    <t>WOS:000978879400001</t>
  </si>
  <si>
    <t>Lee, MS; Chung, HS; Kim, JS</t>
  </si>
  <si>
    <t>Lee, Myeong Seon; Chung, Hyun-Sook; Kim, Jin Sun</t>
  </si>
  <si>
    <t>Analysis of online parenting community posts on expanded newborn screening for metabolic disorders using topic modeling: a quantitative content analysis</t>
  </si>
  <si>
    <t>KOREAN JOURNAL OF WOMEN HEALTH NURSING</t>
  </si>
  <si>
    <t>Purpose: As more newborns have received expanded newborn screening (NBS) for metabolic disorders, the overall number of false-positive results has increased. The purpose of this study was to explore the psychological impacts experienced by mothers related to the NBS process. Methods: An online parenting community in Korea was selected, and questions regarding NBS were collected using web crawling for the period from October 2018 to August 2021. In total, 634 posts were analyzed. The collected unstructured text data were preprocessed, and keyword analysis, topic modeling, and visualization were performed. Results: Of 1,057 words extracted from posts, the top keyword based on `term frequency-inverse document frequency' values was  hypothyroidism, followed by discharge, close examination, thyroid-stimulating hormone levels, and jaundice. The top keyword based on the simple frequency of appearance was XXX hospital, followed by close examination, discharge, breastfeeding,  hypothyroidism, and professor. As a result of LDA topic modeling, posts related to inborn errors of metabolism (IEMs) were classified into four main themes: confirmatory tests of IEMs, mother and newborn with thyroid function problems, retests of IEMs, and feeding related to IEMs. Mothers experienced substantial frustration, stress, and anxiety when they received positive NBS results. Conclusion: The online parenting community played an important role in acquiring and sharing information, as well as psychological support related to NBS in newborn mothers. Nurses can use this study's findings to develop timely and evidence-based information for parents whose children receive positive NBS results to reduce the negative psychological impact.</t>
  </si>
  <si>
    <t>[Lee, Myeong Seon] Nambu Univ, Dept Nursing, Gwangju, South Korea; [Chung, Hyun-Sook] Chosun Univ, Dept Comp Engn, Gwangju, South Korea; [Kim, Jin Sun] Chosun Univ, Dept Nursing, 146 Chosundae Gil, Gwangju 61452, South Korea</t>
  </si>
  <si>
    <t>Kim, JS (corresponding author), Chosun Univ, Dept Nursing, 146 Chosundae Gil, Gwangju 61452, South Korea.</t>
  </si>
  <si>
    <t>jinsun@chosun.ac.kr</t>
  </si>
  <si>
    <t>10.4069/kjwhn.2023.02.21</t>
  </si>
  <si>
    <t>WOS:000968072900004</t>
  </si>
  <si>
    <t>Cohesion and segregation in the value migration network: Evidence from network partitioning based on sector classification and clustering</t>
  </si>
  <si>
    <t>SOCIAL NETWORK ANALYSIS AND MINING</t>
  </si>
  <si>
    <t>Cluster structure detection of the network is a basic problem of complex network analysis. This study investigates the structure of the value migration network using data from 499 stocks listed in the S&amp;P500 as of the end of 2021. An examination is carried out whether the process of value migration creates a cluster structure in the network of companies according to economic activity. Specifically, the cohesion and segregation of the extracted modules in the network division according to (i) sector classification, (ii) community division, and (iii) network clustering decomposition are assessed. The results of this study show that the sector classification of the value migration network has a non-cohesive structure, which means that the flow of value in the financial market occurs between companies from various industries. Moreover, the divisions of the value migration network based on community detection and clustering algorithm are characterized by intra-cluster similarity between the vertices and have a strong community structure. The structure of the network division into modules corresponding to the classification of economic sectors differs significantly from the partition based on the algorithms applied.</t>
  </si>
  <si>
    <t>[Siudak, Dariusz] Lodz Univ Technol, Inst Management, Wolczanska 221, PL-93005 Lodz, Poland</t>
  </si>
  <si>
    <t>Siudak, D (corresponding author), Lodz Univ Technol, Inst Management, Wolczanska 221, PL-93005 Lodz, Poland.</t>
  </si>
  <si>
    <t>JAN 19</t>
  </si>
  <si>
    <t>10.1007/s13278-023-01027-6</t>
  </si>
  <si>
    <t>WOS:000913466800001</t>
  </si>
  <si>
    <t>The effect of self-organizing map architecture based on the value migration network centrality measures on stock return. Evidence from the US market</t>
  </si>
  <si>
    <t>Complex financial systems are the subject of current research interest. The notion of complex network is used for understanding the value migration process. Based on the stock data of 498 companies listed in the S&amp;P500, the value migration network has been constructed using the MST-Pathfinder filtering network approach. The analysis covered 471 companies included in the largest component of VMN. Three methods: (i) complex networks; (ii) artificial neural networks and (iii) MARS regression, are developed to determine the effect of network centrality measures and rate of return on shares. A network-based data mining analysis has revealed that the topological position in the value migration network has a pronounced impact on the stock's returns.</t>
  </si>
  <si>
    <t>[Siudak, Dariusz] Lodz Univ Technol, Inst Management, Lodz, Poland</t>
  </si>
  <si>
    <t>Siudak, D (corresponding author), Lodz Univ Technol, Inst Management, Lodz, Poland.</t>
  </si>
  <si>
    <t>e0276567</t>
  </si>
  <si>
    <t>10.1371/journal.pone.0276567</t>
  </si>
  <si>
    <t>WOS:000924698600014</t>
  </si>
  <si>
    <t>Kim, D; Choi, YR; Lee, YN; Park, WH; Chang, SO</t>
  </si>
  <si>
    <t>Kim, Dayeong; Choi, Young-Rim; Lee, Ye-Na; Park, Won-Hee; Chang, Sung-Ok</t>
  </si>
  <si>
    <t>How about an Educational Framework for Nursing Staff in Long-Term Care Facilities to Improve the Care of Behavioral and Psychological Symptoms of Dementia?</t>
  </si>
  <si>
    <t>Behavioral and psychological symptoms of dementia (BPSD) are common in residents of long-term care facilities (LTCFs). In LTCFs, nursing staff, including nurses and care workers, play a crucial role in managing BPSD as those most in contact with the residents. However, it is ambiguous where their focus should be for effective BPSD care. Thus, this paper aims to reveal BPSD care competencies for nursing staff in LTCFs and to outline an initial frame of education. A multiphase mixed-methods approach, which was conducted through topic modeling, qualitative interviews, and a Delphi survey, was used. From the results, a preliminary educational framework for nursing staff with categories of BPSD care competence was outlined with the four categories of BPSD care competence: using knowledge for assessment and monitoring the status of residents, individualizing approaches on how to understand residents and address BPSD, building relationships for shared decision-making, and securing a safe environment for residents and staff in LTCFs. This preliminary framework illuminates specific domains that need to be developed for competent BPSD care in LTCFs that are centered on nursing staff who directly assess and monitor the changing and deteriorating state of residents in LTCFs.</t>
  </si>
  <si>
    <t>[Kim, Dayeong; Choi, Young-Rim; Park, Won-Hee; Chang, Sung-Ok] Korea Univ, Coll Nursing, Seoul 02841, South Korea; [Kim, Dayeong; Chang, Sung-Ok] Korea Univ, Four R&amp;E Ctr Learning Hlth Syst BK21, Seoul 02841, South Korea; [Lee, Ye-Na] Univ Suwon, Dept Nursing, Hwaseong 18323, South Korea</t>
  </si>
  <si>
    <t>Chang, SO (corresponding author), Korea Univ, Coll Nursing, Seoul 02841, South Korea.;Chang, SO (corresponding author), Korea Univ, Four R&amp;E Ctr Learning Hlth Syst BK21, Seoul 02841, South Korea.</t>
  </si>
  <si>
    <t>sungok@korea.ac.kr</t>
  </si>
  <si>
    <t>10.3390/ijerph191710493</t>
  </si>
  <si>
    <t>WOS:000851177900001</t>
  </si>
  <si>
    <t>Bae, EJ; Jang, AR; Park, H; Yoon, JY</t>
  </si>
  <si>
    <t>Bae, Eun Jung; Jang, Ah. Ram; Park, Hyena; Yoon, Ju Young</t>
  </si>
  <si>
    <t>JOURNAL OF PEDIATRIC NURSING-NURSING CARE OF CHILDREN &amp; FAMILIES</t>
  </si>
  <si>
    <t>Purpose: This study aims to investigate the knowledge structure and research trends in child and adolescent health literacy research over the past 30 years by using network text analysis.Method: The study was conducted in four steps: 1) collecting abstracts, 2) keyword extraction and preprocessing, 3) creation of co-occurrence matrix, and 4) text network analysis.Results: As a result of the centrality analysis, the upper-ranked core keywords were health care, health behav-ior, prevention, treatment, and health promotion. In contrast to earlier times, barrier, caregiver, school setting, and QOL have recently emerged as core keywords.Conclusions: Over the past 30 years, child and adolescent health literacy has been importantly addressed in both clinical and public health approaches. The results of the current study provide references for future research in child and adolescent health literacy. Implication for practice and research: This study suggests the need for additional research on school-based prac-tices that can improve health literacy and for identifying validated and reliable multidimensional health literacy assessment instruments.(c) 2022 Elsevier Inc. All rights reserved.</t>
  </si>
  <si>
    <t>[Bae, Eun Jung; Jang, Ah. Ram; Park, Hyena; Yoon, Ju Young] Seoul Natl Univ, Coll Nursing, Seoul, South Korea; [Yoon, Ju Young] Seoul Natl Univ, Res Inst Nursing Sci, Seoul, South Korea; [Yoon, Ju Young] Seoul Natl Univ, Coll Nursing, Ctr Human Caring Nurse Leaders Future Brain Korea, Seoul, South Korea; [Yoon, Ju Young] Seoul Natl Univ, Coll Nursing, 103 Daehak Ro, Seoul 03080, South Korea</t>
  </si>
  <si>
    <t>Yoon, JY (corresponding author), Seoul Natl Univ, Coll Nursing, 103 Daehak Ro, Seoul 03080, South Korea.</t>
  </si>
  <si>
    <t>yoon26@snu.ac.kr</t>
  </si>
  <si>
    <t>NOV-DEC</t>
  </si>
  <si>
    <t>10.1016/j.pedn.2022.08.001</t>
  </si>
  <si>
    <t>AUG 2022</t>
  </si>
  <si>
    <t>WOS:000841576500004</t>
  </si>
  <si>
    <t>A network analysis of the value migration process on the financial market. The effect of value migration network structure on stock returns</t>
  </si>
  <si>
    <t>EXPERT SYSTEMS WITH APPLICATIONS</t>
  </si>
  <si>
    <t>In this paper, I use the MST-Pathfinder approach to construct the value migration network and then analyze the network's topological properties. This is the first attempt to build a network that includes in its structure the process of enterprise value migration on the stock exchange. Based on data from companies listed in the US market in December 2019 and applying a rigorous approach I demonstrate that the in- and out-degree distributions follow a power-law model. The study also reveals that the value migration network presents a disassortative behavior. Furthermore, I show that the relationship between the company's central position in the value migration network and return on shares has a positive impact for companies in the inflow phase and a negative for companies in the outflow phase.</t>
  </si>
  <si>
    <t>[Siudak, Dariusz] Lodz Univ Technol, Inst Social Sci &amp; Management Technol, Wolczanska 225, Lodz, Poland</t>
  </si>
  <si>
    <t>Siudak, D (corresponding author), Lodz Univ Technol, Inst Social Sci &amp; Management Technol, Wolczanska 225, Lodz, Poland.</t>
  </si>
  <si>
    <t>APR 1</t>
  </si>
  <si>
    <t>10.1016/j.eswa.2021.116129</t>
  </si>
  <si>
    <t>DEC 2021</t>
  </si>
  <si>
    <t>WOS:000736173700003</t>
  </si>
  <si>
    <t>Shin, S; Park, MS; Lee, H; Baral, H</t>
  </si>
  <si>
    <t>Shin, Seongmin; Park, Mi Sun; Lee, Hansol; Baral, Himlal</t>
  </si>
  <si>
    <t>The structure and pattern of global partnerships in the REDD plus mechanism</t>
  </si>
  <si>
    <t>FOREST POLICY AND ECONOMICS</t>
  </si>
  <si>
    <t>Projects for reducing emissions from deforestation and forest degradation (REDD+) have been initiated in developing countries, featuring partnerships with multiple actors under the global forest and climate change regime. Even though partnerships between stakeholders are crucial for ensuring successful project deliveries, there is a lack of knowledge about sectoral partnerships within and between stakeholders in REDD+ projects. This study aims to measure the structures and patterns of REDD+ project partnerships using an original, multistage social network theory approach with global-and regional-level centralization analyses using three major regions (Asia, Africa and South America), and configurations using exponential random graph modeling (ERGM). Using data on 480 REDD+ projects implemented in 57 countries, results show concentrated polycentric networks across several dominant actors, including USA-, Brazil-and China-based organizations. Statistical network modeling indicates that, overall, partnerships are less likely to be created between different organization categories (across-type bridging), but tend more towards cooperation with the same types (within-type bridging). Research institutes, however, produce distinctly different patterns, forming across-type partnerships with highly technical capacities. Comparisons of stakeholders at different stages of the REDD+ mechanism help in understanding the complete picture of REDD+ architecture. This study contributes by offering insights for designing future partnerships within REDD+ projects and suggests ways to improve multi-level collaboration and cooperation.</t>
  </si>
  <si>
    <t>[Shin, Seongmin; Baral, Himlal] Ctr Int Forestry Res CIFOR, Jalan CIFOR, Bogor 16115, Indonesia; [Park, Mi Sun; Lee, Hansol] Seoul Natl Univ, Grad Sch Int Agr Technol, Pyeongchang 25354, Gangwon, South Korea; [Park, Mi Sun] Seoul Natl Univ, Ctr Int Agr Dev, Inst Green Bio Sci &amp; Technol, Pyeongchang 25354, Gangwon, South Korea; [Baral, Himlal] Univ Melbourne, Dept Ecosyst &amp; Forest Sci, Parkville, Vic 3010, Australia</t>
  </si>
  <si>
    <t>Park, MS (corresponding author), Seoul Natl Univ, Grad Sch Int Agr Technol, Pyeongchang 25354, Gangwon, South Korea.</t>
  </si>
  <si>
    <t>seongmin.shin@cgiar.org; mpark@snu.ac.kr; ihansol14@snu.ac.kr; H.Baral@cgiar.org</t>
  </si>
  <si>
    <t>10.1016/j.forpol.2021.102640</t>
  </si>
  <si>
    <t>NOV 2021</t>
  </si>
  <si>
    <t>WOS:000721585300001</t>
  </si>
  <si>
    <t>Lee, MT; Su, WN</t>
  </si>
  <si>
    <t>Lee, Ming-Ta; Su, Wei-Nien</t>
  </si>
  <si>
    <t>Investigation into the development of lithium-ion battery electrolytes and related knowledge transfer using research paper-based social network analysis</t>
  </si>
  <si>
    <t>It is generally accepted that the latest research findings are published as research papers in journals. Social network analysis (SNA) can offer a perspective from which to analyze technological developments. This work analyzes the development of lithium-ion batteries (LIBs) and electrolytes by SNA based on papers from 2011 to 2015. Three types of social networks, country-, institution-, and research paper-based networks were used. Country-based network analysis shows that major ten countries have a close relationship with respect to technology development. Institution-based network analysis revealed that 48 top institutions publish the most prolifically and that a small-world effect exists within the network, indicating excellent knowledge transfer among institutions through citations. Several institutions occupy the center position within the network and have a prominent influence in knowledge transfer as judged by centrality analysis. Research paper-based social networks, consisting of high-citation articles, are grouped into six technology clusters, which exhibit a broad range of knowledge transfer processes regardless of the battery and electrolyte types, indicating underlying closely interwoven relationships. The knowledge transfer path can describe the technology evolution in detail. An overview of technological development status can be thus obtained by this proposed three-level analysis method.</t>
  </si>
  <si>
    <t>[Lee, Ming-Ta; Su, Wei-Nien] Natl Taiwan Univ Sci &amp; Technol, Grad Inst Appl Sci &amp; Technol, Taipei 106, Taiwan</t>
  </si>
  <si>
    <t>Su, WN (corresponding author), Natl Taiwan Univ Sci &amp; Technol, Grad Inst Appl Sci &amp; Technol, Taipei 106, Taiwan.</t>
  </si>
  <si>
    <t>wsu@mail.ntust.edu.tw</t>
  </si>
  <si>
    <t>10.1016/j.est.2021.102890</t>
  </si>
  <si>
    <t>JUL 2021</t>
  </si>
  <si>
    <t>WOS:000674604800002</t>
  </si>
  <si>
    <t>Kim, Dukjin; Lee, Wooyoung; Kim, Dohyung; Gim, Gwangyong</t>
  </si>
  <si>
    <t>[Kim, Dukjin] Soongsil Univ, Grad Sch IT Policy &amp; Management, Seoul, South Korea; [Lee, Wooyoung; Kim, Dohyung; Gim, Gwangyong] Soongsil Univ, Seoul, South Korea</t>
  </si>
  <si>
    <t>Kim, D (corresponding author), Soongsil Univ, Grad Sch IT Policy &amp; Management, Seoul, South Korea.</t>
  </si>
  <si>
    <t>JUL-SEP</t>
  </si>
  <si>
    <t>10.4018/IJSI.2021070104</t>
  </si>
  <si>
    <t>WOS:000708496000004</t>
  </si>
  <si>
    <t>Shin, S; Park, MS; Lee, H; Lee, S; Lee, H; Kim, TH; Kim, HJ</t>
  </si>
  <si>
    <t>Shin, Seongmin; Park, Mi Sun; Lee, Hansol; Lee, Seongeun; Lee, Haeun; Kim, Tae Hoon; Kim, Hyo Jin</t>
  </si>
  <si>
    <t>Global Trends in Research on Wild-Simulated Ginseng: Quo Vadis?</t>
  </si>
  <si>
    <t>FORESTS</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</si>
  <si>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</si>
  <si>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[Shin, Seongmin] Ctr Int Forestry Res CIFOR, Jalan CIFOR,Situ Gede, Bogor 16115, Indonesia; [Shin, Seongmin; Park, Mi Sun; Lee, Hansol; Lee, Haeun; Kim, Tae Hoon; Kim, Hyo Jin] Seoul Natl Univ, Grad Sch Int Agr Technol, 1447 Pyeongchang Daero, Pyeongchang 25354, Gangwon, South Korea; [Park, Mi Sun; Kim, Hyo Jin] Seoul Natl Univ, Inst Green Bio Sci, 1447 Pyeongchang Daero, Pyeongchang 25354, Gangwon, South Korea; [Park, Mi Sun; Kim, Hyo Jin] Seoul Natl Univ, Inst Technol, 1447 Pyeongchang Daero, Pyeongchang 25354, Gangwon, South Korea; [Lee, Seongeun] Korea Rural Econ Inst, Ctr Int Agr Partnership, Naju Si 58217, Jeollanam Do, South Korea</t>
  </si>
  <si>
    <t>Park, MS (corresponding author), Seoul Natl Univ, Grad Sch Int Agr Technol, 1447 Pyeongchang Daero, Pyeongchang 25354, Gangwon, South Korea.;Park, MS (corresponding author), Seoul Natl Univ, Inst Green Bio Sci, 1447 Pyeongchang Daero, Pyeongchang 25354, Gangwon, South Korea.;Park, MS (corresponding author), Seoul Natl Univ, Inst Technol, 1447 Pyeongchang Daero, Pyeongchang 25354, Gangwon, South Korea.</t>
  </si>
  <si>
    <t>seongmin.shin@cgiar.org; mpark@snu.ac.kr; ihansol14@snu.ac.kr; lse1229@krei.re.kr; haeunl630@snu.ac.kr; switch-thkim@snu.ac.kr; erythritol@snu.ac.kr</t>
  </si>
  <si>
    <t>10.3390/f12060664</t>
  </si>
  <si>
    <t>WOS:000665984900001</t>
  </si>
  <si>
    <t>Kang, HJ; Han, J; Kwon, GH</t>
  </si>
  <si>
    <t>Kang, Hyo-Jin; Han, Jieun; Kwon, Gyu Hyun</t>
  </si>
  <si>
    <t>Determining the Intellectual Structure and Academic Trends of Smart Home Health Care Research: Coword and Topic Analyses</t>
  </si>
  <si>
    <t>Background: With the rapid development of information and communication technologies, smart homes are being investigated as effective solutions for home health care. The increasing academic attention on smart home health care has primarily been on the development and application of smart home technologies. However, comprehensive studies examining the general landscape of diverse research areas for smart home health care are still lacking. Objective: This study aims to determine the intellectual structure of smart home health care in a time series by conducting a coword analysis and topic analysis. Specifically, it investigates (1) the intellectual basis of smart home health care through overall academic status, (2) the intellectual foci through influential keywords and their evolutions, and (3) intellectual trends through primary topics and their evolutions. Methods: Analyses were conducted in 5 steps: (1) data retrieval from article databases (Web of Science, Scopus, and PubMed) and the initial dataset preparation of 6080 abstracts from the year 2000 to the first half of 2019; (2) data preprocessing and refinement extraction of 25,563 words; (3) a descriptive analysis of the overall academic status and period division (ie, 4 stages of 3-year blocks); (4) coword analysis based on word co-occurrence networks for the intellectual foci; and (5) topic analysis for the intellectual trends based on latent Dirichlet allocation (LDA) topic modeling, word-topic networks, and researcher workshops. Results: First, regarding the intellectual basis of smart home health care, recent academic interest and predominant journals and research domains were verified. Second, to determine the intellectual foci, primary keywords were identified and classified according to the degree of their centrality values. Third, 5 themes pertaining to the topic evolution emerged: (1) the diversification of smart home health care research topics; (2) the shift from technology-oriented research to technological convergence research; (3) the expansion of application areas and system functionality of smart home health care; (4) the increased focus on system usability, such as service design and experiences; and (5) the recent adaptation of the latest technologies in health care. Based on these findings, the pattern of technology diffusion in smart home health care research was determined as the adaptation of technologies, the proliferation of application areas, and an extension into system design and service experiences. Conclusions: The research findings provide academic and practical value in 3 aspects. First, they promote a comprehensive understanding of the smart home health care domain by identifying its multifaceted intellectual structure in a time series. Second, they can help clinicians discern the development and dispersion level of their respective disciplines. Third, the pattern of technology diffusion in smart home health care could help scholars comprehend current and future research trends and identify research opportunities based on upcoming research waves of newly adapted technologies in smart home health care.</t>
  </si>
  <si>
    <t>[Kang, Hyo-Jin] Sungshin Womens Univ, Dept Serv Design Engn, Seoul, South Korea; [Han, Jieun; Kwon, Gyu Hyun] Hanyang Univ, Grad Sch Technol &amp; Innovat Management, 222 Wangsimni Ro, Seoul 04763, South Korea</t>
  </si>
  <si>
    <t>Kwon, GH (corresponding author), Hanyang Univ, Grad Sch Technol &amp; Innovat Management, 222 Wangsimni Ro, Seoul 04763, South Korea.</t>
  </si>
  <si>
    <t>ghkwon@hanyang.ac.kr</t>
  </si>
  <si>
    <t>JAN 21</t>
  </si>
  <si>
    <t>e19625</t>
  </si>
  <si>
    <t>10.2196/19625</t>
  </si>
  <si>
    <t>WOS:000609251000007</t>
  </si>
  <si>
    <t>Bang, SW</t>
  </si>
  <si>
    <t>Bang, Seong-won</t>
  </si>
  <si>
    <t>Analysis of Research Trends on Online Korean Language Education -Using topic modeling and semantic network analysis-</t>
  </si>
  <si>
    <t>JOURNAL OF THE INTERNATIONAL NETWORK FOR KOREAN LANGUAGE AND CULTURE</t>
  </si>
  <si>
    <t>This study aims to investigate the characteristics of knowledge structures and trends in research concerning online Korean language education. The subject of analysis are the journal articles collected by KCI. Topic modeling and semantic network analysis are used to identify the main topics and influential keywords of articles. The analysis yielded the following results. First of all, seven topics were derived through topic modeling: Development of tools for online Korean language learning, Using hybrid online classes, Smart Learning and learning using content, Management of teachers' online Korean language classes, Development of multimedia education materials, Media literacy and cultural education and Korean language education using new digital technology. The results of the semantic network analysis showed that keywords with high a degree of centrality throughout the articles included learning, class, learner, using, and development. In separately analyzing the articles published before and after 2019-when the number of articles increased significantly-it was found that the centrality of class was further increased, and that the centrality of development was decreased. The results of this study provide implications for understanding trends in online Korean language education research that has evolved reflecting environmental changes and for predicting the direction of future research.(KyungHee Cyber University)</t>
  </si>
  <si>
    <t>newsift@khcu.ac.kr</t>
  </si>
  <si>
    <t>10.15652/ink.2021.18.1.001</t>
  </si>
  <si>
    <t>WOS:000652365300001</t>
  </si>
  <si>
    <t>Wang, TN; Qu, ZH; Yang, ZL; Nichol, T; Clarke, G; Ge, YE</t>
  </si>
  <si>
    <t>Wang, Tianni; Qu, Zhuohua; Yang, Zaili; Nichol, Timothy; Clarke, Geoff; Ge, Ying-En</t>
  </si>
  <si>
    <t>Climate change research on transportation systems: Climate risks, adaptation and planning</t>
  </si>
  <si>
    <t>TRANSPORTATION RESEARCH PART D-TRANSPORT AND ENVIRONMENT</t>
  </si>
  <si>
    <t>With the occurrence of more frequent and intense climate change events, transportation systems, including their infrastructure and operations become increasingly vulnerable. However, the existing research related to climate risks, adaptation and planning in the transport sector is still at an embryonic stage. Understanding such, this paper presents a critical review on climate risks, adaptation strategies and planning in the context of road and rail transportation systems. It aims to conduct a rigorous survey, to highlight any significant research gaps not addressed in past studies and to analyse current emerging topics to guide future directions. It critically dissects the selected papers by categorising them into several dimensions to reveal the status quo and potential challenges, including climate risk assessment, transport asset management, climate planning and policy, and adaptation of transport infrastructure to climate change. It will provide valuable references for future research and constructive insights and empirical guidance on climate adaptation, risk analysis, transport planning and other important relevant topics.</t>
  </si>
  <si>
    <t>[Wang, Tianni; Ge, Ying-En] Shanghai Maritime Univ, Coll Transport &amp; Commun, Shanghai, Peoples R China; [Wang, Tianni; Qu, Zhuohua; Nichol, Timothy] Liverpool John Moores Univ, Liverpool Business Sch, Liverpool, Merseyside, England; [Wang, Tianni; Yang, Zaili] Liverpool John Moores Univ, Offshore &amp; Marine Res Inst, Liverpool Logist, Liverpool, Merseyside, England; [Wang, Tianni; Clarke, Geoff] AECOM UK Ltd, Freight &amp; Logist Dept, Bristol, Avon, England</t>
  </si>
  <si>
    <t>Yang, ZL (corresponding author), Liverpool John Moores Univ, Offshore &amp; Marine Res Inst, Liverpool Logist, Liverpool, Merseyside, England.</t>
  </si>
  <si>
    <t>z.yang@ljmu.ac.uk</t>
  </si>
  <si>
    <t>10.1016/j.trd.2020.102553</t>
  </si>
  <si>
    <t>WOS:000591708800011</t>
  </si>
  <si>
    <t>Yu, H; Chang, H</t>
  </si>
  <si>
    <t>Yu, Harang; Chang, Hangbae</t>
  </si>
  <si>
    <t>A Meta-Analysis of Industrial Security Research for Sustainable Organizational Growth</t>
  </si>
  <si>
    <t>As the world enters a fourth Industrial Revolution, organizations worldwide face challenges in dealing with important assets such as industrial technology. Leaking these assets can not only damage organizations economically but also negatively affect customer relationships and brand image. This has led to an increased awareness of industrial security in both the business and academic spheres and a focus on identifying and implementing countermeasures against security incidents, as future computing environments will continuously face security threats. This study first examines the literature on industrial security and its current status in South Korea, which is considered an active industrial security research environment. Subsequently, meta-analyses are conducted on South Korea and abroad to compare their status and research trends in the industrial security field. The results confirm that South Korea has more actively conducted relevant studies compared to international research. This study contributes to the current literature by not only increasing the awareness of industrial security but also encouraging future studies in the field to facilitate a safe and sustainable computing environment.</t>
  </si>
  <si>
    <t>[Yu, Harang] Chung Ang Univ, Dept Secur Convergence, Seoul 06974, South Korea; [Chang, Hangbae] Chung Ang Univ, Dept Ind Secur, Seoul 06974, South Korea</t>
  </si>
  <si>
    <t>Chang, H (corresponding author), Chung Ang Univ, Dept Ind Secur, Seoul 06974, South Korea.</t>
  </si>
  <si>
    <t>hryu356@cau.ac.kr; hbchang@cau.ac.kr</t>
  </si>
  <si>
    <t>10.3390/su12229526</t>
  </si>
  <si>
    <t>WOS:000594562600001</t>
  </si>
  <si>
    <t>The Influence of Interlocking Directorates on the Propensity of Dividend Payout to the Parent Company</t>
  </si>
  <si>
    <t>COMPLEXITY</t>
  </si>
  <si>
    <t>An examination was performed on whether director interlocks enabled the adoption of a dividend policy for the benefit of the parent company in the ownership structure. Specifically, the study investigated the dependence of the impact of the central position in the board network on the probability of dividend payment. Based on sample of firms listed on Polish capital market, it was observed that the more central the company's position in the interlocking directorate network, the more likely it is to pay dividends to a subsidiary. This effect is related to the eigenvector centrality. The results obtained suggest that corporate financial policy can be spread across firms through the board network.</t>
  </si>
  <si>
    <t>[Siudak, Dariusz] Lodz Univ Technol, Inst Social Sci &amp; Management Technol, Lodz, Poland</t>
  </si>
  <si>
    <t>Siudak, D (corresponding author), Lodz Univ Technol, Inst Social Sci &amp; Management Technol, Lodz, Poland.</t>
  </si>
  <si>
    <t>MAY 27</t>
  </si>
  <si>
    <t>10.1155/2020/6262519</t>
  </si>
  <si>
    <t>WOS:000540527800002</t>
  </si>
  <si>
    <t>Cho, HJ; Lee, TJ</t>
  </si>
  <si>
    <t>Cho, Heeran J.; Lee, Timothy J.</t>
  </si>
  <si>
    <t>Stakeholders in the medical trade: The case of South Korea's networks with China and the United States</t>
  </si>
  <si>
    <t>INTERNATIONAL JOURNAL OF TOURISM RESEARCH</t>
  </si>
  <si>
    <t>This study analyzes the stakeholder networks that have developed in the medical tourism industry centered around South Korea. The network that 14 leading Korean medical tourism stakeholders have with China and the United States are investigated considering General Agreement on Trade in Services four modes and analyzed via social network analysis. The stakeholders of each mode with China and the United States depict relational structures that vary in their degree of similarity and disparity on the basis of their centralization. This study contributes to the literature by bringing order to and providing a structural framework for the network complexity of the medical trade in relation with the medical tourism industry.</t>
  </si>
  <si>
    <t>[Cho, Heeran J.] Yonsei Univ, Dept Publ Hlth Adm, Wonju, South Korea; [Lee, Timothy J.] Univ Sunshine Coast, USC Business Sch, Brisbane, Qld, Australia</t>
  </si>
  <si>
    <t>Lee, TJ (corresponding author), Univ Sunshine Coast, USC Business Sch, Business, Brisbane, Qld 4101, Australia.</t>
  </si>
  <si>
    <t>tlee2@usc.edu.au</t>
  </si>
  <si>
    <t>10.1002/jtr.2345</t>
  </si>
  <si>
    <t>DEC 2019</t>
  </si>
  <si>
    <t>WOS:000504335800001</t>
  </si>
  <si>
    <t>Kim, H; Chung, JK; Lee, MH</t>
  </si>
  <si>
    <t>Kim, Hwanbae; Chung, Jae-Kyoung; Lee, Myeong-Hun</t>
  </si>
  <si>
    <t>Social Network Analysis of the Jangwi Urban Regeneration Community</t>
  </si>
  <si>
    <t>The administrative turn to urban regeneration in South Korea prompts an examination into the social aspects of sustainability for project areas. This retrospective study used social network analysis (SNA) to compass the 2015-2018 formation of Jangwi urban regeneration community, with average degree, centralization, and efficiency for network level and degree for individual level. The study aimed to identify the network's structural characteristics in terms of relationships and social linkage. Average degree results note a rise in social exchange (2015: 0.609; 2018: 4.060), while the 2018 centralization value (&lt;0.5) and community efficiency indicate how such network communication is dependent on key influencers. Introduced is a visual and quantitative analysis method for community networks that may warrant urgent attention in the field of Korean urban regeneration, as it provides potential strategies for governments and administrations to accomplish sustainable and strategic goals.</t>
  </si>
  <si>
    <t>[Kim, Hwanbae] Hanyang Univ, Grad Sch, Dept Frontier Architectural &amp; Urban Environm Engn, 222 Wangsimni Ro, Seoul 04763, South Korea; [Chung, Jae-Kyoung; Lee, Myeong-Hun] Hanyang Univ, Grad Sch Urban Studies, 222 Wangsimni Ro, Seoul 04763, South Korea</t>
  </si>
  <si>
    <t>Kim, H (corresponding author), Hanyang Univ, Grad Sch, Dept Frontier Architectural &amp; Urban Environm Engn, 222 Wangsimni Ro, Seoul 04763, South Korea.;Lee, MH (corresponding author), Hanyang Univ, Grad Sch Urban Studies, 222 Wangsimni Ro, Seoul 04763, South Korea.</t>
  </si>
  <si>
    <t>hb1370@hotmail.com; mhlee99@hanyang.ac.kr</t>
  </si>
  <si>
    <t>AUG</t>
  </si>
  <si>
    <t>10.3390/su11154185</t>
  </si>
  <si>
    <t>WOS:000485230200190</t>
  </si>
  <si>
    <t>Kim, KJ; Ahn, H</t>
  </si>
  <si>
    <t>Kim, Kyoung-jae; Ahn, Hyunchul</t>
  </si>
  <si>
    <t>Recommender systems using cluster-indexing collaborative filtering and social data analytics</t>
  </si>
  <si>
    <t>INTERNATIONAL JOURNAL OF PRODUCTION RESEARCH</t>
  </si>
  <si>
    <t>As a result of the extensive variety of products available in e-commerce settings during the last decade, recommender systems have been highlighted as a means of mitigating the problem of information overload. Collaborative filtering (CF) is the most widely used algorithm to build such systems, and improving the predictive accuracy of CF-based recommender systems has been a major research challenge. This research aims to improve the prediction accuracy of CF by incorporating social network analysis (SNA) and clustering techniques. Our proposed model identifies the most influential people in an online social network by SNA and then conducts clustering analysis using these people as initial centroids (cluster centres). Finally, the model makes recommendations using cluster-indexing CF based on the clustering outcomes. In this step, our model adjusts the effect of neighbours in the same cluster as the target user to improve prediction accuracy by reflecting hidden information about his or her social community. The experimental results indicate that the proposed model outperforms other comparison models, including conventional CF, with statistical significance.</t>
  </si>
  <si>
    <t>[Kim, Kyoung-jae] Dongguk Univ Seoul, Business Sch, Seoul, South Korea; [Ahn, Hyunchul] Kookmin Univ, Grad Sch Business IT, Seoul, South Korea</t>
  </si>
  <si>
    <t>Ahn, H (corresponding author), Kookmin Univ, Grad Sch Business IT, Seoul, South Korea.</t>
  </si>
  <si>
    <t>hcahn@kookmin.ac.kr</t>
  </si>
  <si>
    <t>10.1080/00207543.2017.1287443</t>
  </si>
  <si>
    <t>WOS:000404671500015</t>
  </si>
  <si>
    <t>Lock, MJ; Stephenson, AL; Branford, J; Roche, J; Edwards, MS; Ryan, K</t>
  </si>
  <si>
    <t>Lock, Mark J.; Stephenson, Amber L.; Branford, Jill; Roche, Jonathan; Edwards, Marissa S.; Ryan, Kathleen</t>
  </si>
  <si>
    <t>Voice of the Clinician: the case of an Australian health system</t>
  </si>
  <si>
    <t>JOURNAL OF HEALTH ORGANIZATION AND MANAGEMENT</t>
  </si>
  <si>
    <t>Purpose - The Voice of the Clinician project commenced during an era when practitioner burnout, dissatisfaction, and turnover became an increasingly global health workforce concern. One key problem is clinical staff not being empowered to voice their concerns to decision-makers, as was found in this case study of an Australian public health organization. The following research question informed the present study: What is a better committee system for clinician engagement in decision-making processes? The paper aims to discuss this issue. Design/methodology/approach - The Mid North Coast Local Health District in New South Wales aspired to improve engagement between frontline clinicians and decision-makers. Social network analysis methods and mathematical modeling were used in the discovery of how committees are connected to each other and subsequently to other committee members. Findings - This effort uncovered a hidden organizational architecture of 323 committees of 926 members which overall cost 84,729 person hours and AUD$2.923 million per annum. Furthermore, frontline clinicians were located far from centers of influence, just 37 percent of committees had terms of reference, and clinicians reported that meeting agendas were not being met. Practical implications - In response to the findings, a technological platform was created so that the board of directors could visually see all the committees and the connections between them, thus creating ways to further improve communication, transparency of process, and - ultimately - clinician engagement. Originality/value - The breakthrough idea is that all organizational meetings can be seen as a system of engagement and should be analyzed to determine and describe the points and pathways where clinician voice is blocked.</t>
  </si>
  <si>
    <t>[Lock, Mark J.] Committix Pty Ltd, Newcastle, NSW, Australia; [Stephenson, Amber L.] Clarkson Univ, Sch Business, Schenectady, NY USA; [Branford, Jill; Ryan, Kathleen] Mid North Coast Local Hlth Dist, Coffs Harbour, Australia; [Roche, Jonathan] Mid North Coast Local Hlth Dist, Clin Governance Unit, Coffs Harbour, Australia; [Edwards, Marissa S.] Univ Queensland, UQ Business Sch, Brisbane, Qld, Australia</t>
  </si>
  <si>
    <t>Lock, MJ (corresponding author), Committix Pty Ltd, Newcastle, NSW, Australia.</t>
  </si>
  <si>
    <t>marklock@committix.com.au</t>
  </si>
  <si>
    <t>10.1108/JHOM-05-2017-0113</t>
  </si>
  <si>
    <t>WOS:000413094400004</t>
  </si>
  <si>
    <t>Lee, YS; Kim, JJ; Lee, TS</t>
  </si>
  <si>
    <t>Lee, Yoon-Sun; Kim, Jae-Jun; Lee, Tai Sik</t>
  </si>
  <si>
    <t>Topological Competiveness Based on Social Relationships in the Korean Construction-Management Industry</t>
  </si>
  <si>
    <t>JOURNAL OF CONSTRUCTION ENGINEERING AND MANAGEMENT</t>
  </si>
  <si>
    <t>A recent study reported that the construction management market has grown more competitive. In this environment, identifying a company's competitive position enables a study of competitor strategies and the ability to select the most suitable path to profitability. This study suggests a methodology to analyze topological competiveness based on social relationships between firms modeled according to four subnetworks: Joint contract networks linked directly between firms, public and private networks linked indirectly by owners, and building and civil networks linked indirectly by work type. This study proposes an analytical framework measuring topological competiveness from four perspectives: The network topology among each subnetwork, centralities and structural positions among the firms, cohesive subgroups and strong relations in the subnetwork, and the structural equivalence among firms. Using 2,984 cases of Korean construction management projects from 1997 to 2013, an empirical analysis of topological competiveness validated the methodology to diagnose competitiveness and select the most suitable relationships with competitors to create company growth.</t>
  </si>
  <si>
    <t>[Lee, Yoon-Sun] Hanyang Univ, Int Space Explorat Res Inst, Ansan 15588, South Korea; [Kim, Jae-Jun] Hanyang Univ, Dept Architectural Engn, Seoul 04763, South Korea; [Lee, Tai Sik] Korea Inst Civil Engn &amp; Bldg Technol, Ilsan 10223, South Korea</t>
  </si>
  <si>
    <t>Kim, JJ (corresponding author), Hanyang Univ, Dept Architectural Engn, Seoul 04763, South Korea.</t>
  </si>
  <si>
    <t>jjkim@hanyang.ac.kr</t>
  </si>
  <si>
    <t>10.1061/(ASCE)CO.1943-7862.0001175</t>
  </si>
  <si>
    <t>WOS:000386357000005</t>
  </si>
  <si>
    <t>Ramírez, JM</t>
  </si>
  <si>
    <t>Machin Ramirez, Juan</t>
  </si>
  <si>
    <t>American Network for Intervention in Situations of Social Suffering (RAISSS): A Case Study of a Civil Society Organization Network</t>
  </si>
  <si>
    <t>VOLUNTAS</t>
  </si>
  <si>
    <t>The civil society organizations networks in the Latin American region are increasingly participating in the public policy advocacy. There are many studies that address them, but they do it through more in qualitative methodological approaches but there are few analyzed from a social network analysis approach. We present a case study that analyzes the American Network for Intervention in Situations of Social Suffering (Red Americana de Intervencin en Situaciones de Sufrimiento Social, RAISSS), a transnational network of civil society networks from 15 Latin American countries that work with the same meta-model, called ECO2, to promote social inclusion and public policy advocacy.</t>
  </si>
  <si>
    <t>[Machin Ramirez, Juan] Invierno17,Col Merced Gomez, Mexico City 01600, DF, Mexico; [Machin Ramirez, Juan] Caritas Format Ctr Attent Pharmacodependency &amp; As, Mexico City, DF, Mexico</t>
  </si>
  <si>
    <t>Ramírez, JM (corresponding author), Invierno17,Col Merced Gomez, Mexico City 01600, DF, Mexico.;Ramírez, JM (corresponding author), Caritas Format Ctr Attent Pharmacodependency &amp; As, Mexico City, DF, Mexico.</t>
  </si>
  <si>
    <t>jmachin85@gmail.com</t>
  </si>
  <si>
    <t>10.1007/s11266-015-9563-5</t>
  </si>
  <si>
    <t>WOS:000368711700011</t>
  </si>
  <si>
    <t>Breznik, K</t>
  </si>
  <si>
    <t>Breznik, Kristijan</t>
  </si>
  <si>
    <t>Using social network analysis to identify innovation clusters</t>
  </si>
  <si>
    <t>INTERNATIONAL JOURNAL OF INNOVATION AND LEARNING</t>
  </si>
  <si>
    <t>The government of the Republic of Slovenia encourages the cooperation between organisations with three types of research centres: competence centres, centres of excellence, and development centres. These three types of networking mechanisms together with research organisations generate two-mode network. With the information obtained from the membership in the networking mechanisms, we constructed weighted and undirected one-mode network of Slovenian research organisations. Furthermore, we instructively provided the methodology which was applied to: establish the innovation one-mode network, obtain the innovation clusters, and classify actors-units (research organisations) in the resulting clusters. The following three centrality measures were used in the paper: degree, betweenness and closeness. In this way, the most important Slovenian research organisations in the field of innovation and knowledge production were revealed. Results confirm two significant indicators in Slovenian research development, regional affiliation and industrial sector membership.</t>
  </si>
  <si>
    <t>[Breznik, Kristijan] Int Sch Social &amp; Business Studies, 7 Mariborska Cesta, Celje 3000, Slovenia</t>
  </si>
  <si>
    <t>Breznik, K (corresponding author), Int Sch Social &amp; Business Studies, 7 Mariborska Cesta, Celje 3000, Slovenia.</t>
  </si>
  <si>
    <t>kristijan.breznik@mfdps.si</t>
  </si>
  <si>
    <t>10.1504/IJIL.2016.075654</t>
  </si>
  <si>
    <t>WOS:000436889800003</t>
  </si>
  <si>
    <t>Maivizhi, R; Sendhilkumar, S; Mahalakshmi, GS</t>
  </si>
  <si>
    <t>Maivizhi, R.; Sendhilkumar, S.; Mahalakshmi, G. S.</t>
  </si>
  <si>
    <t>A Survey of Tools for Community Detection and Mining in Social Networks</t>
  </si>
  <si>
    <t>PROCEEDINGS OF THE INTERNATIONAL CONFERENCE ON INFORMATICS AND ANALYTICS (ICIA' 16)</t>
  </si>
  <si>
    <t>Proceedings Paper</t>
  </si>
  <si>
    <t>1st International Conference on Informatics and Analytics (ICIA)</t>
  </si>
  <si>
    <t>AUG 25-26, 2016</t>
  </si>
  <si>
    <t>Pondicherry Engn Coll, Puducherry, INDIA</t>
  </si>
  <si>
    <t>Pondicherry Engn Coll</t>
  </si>
  <si>
    <t>Online Social Networks (OSNs) namely Facebook, Twitter and LinkedIn are the most popularly visited sites on the internet. These sites contain large voluminous data about the people and relationships among them. Community structure is an important property of social networks. It is a topic of considerable interest in many areas due to its wide range of applications in multiple disciplines including biology, computer science, social sciences and so on. Detection of communities reveals how the structure of ties affects the peoples and their relationships. To facilitate community discovery a wide range of tools have been developed over years. This paper surveys several tools available for detection and mining of communities and presents a comparative study. In addition, we discussed various visualization layouts of social networks in order to perceive network data and to communicate the result of analysis.</t>
  </si>
  <si>
    <t>[Maivizhi, R.; Sendhilkumar, S.] Anna Univ, Dept IST, Chennai, Tamil Nadu, India; [Mahalakshmi, G. S.] Anna Univ, Dept CSE, Chennai, Tamil Nadu, India</t>
  </si>
  <si>
    <t>Maivizhi, R (corresponding author), Anna Univ, Dept IST, Chennai, Tamil Nadu, India.</t>
  </si>
  <si>
    <t>maivizhi16@gmail.com; ssk_pdy@yahoo.co.in; gsmaha@annauniv.edu</t>
  </si>
  <si>
    <t>10.1145/2980258.2980408</t>
  </si>
  <si>
    <t>WOS:000653618800071</t>
  </si>
  <si>
    <t>Andrei, F; Mancini, G; Mazzoni, E; Russo, PM; Baldaro, B</t>
  </si>
  <si>
    <t>Andrei, Federica; Mancini, Giacomo; Mazzoni, Elvis; Russo, P. M.; Baldaro, Bruno</t>
  </si>
  <si>
    <t>Social status and its link with personality dimensions, trait emotional intelligence, and scholastic achievement in children and early adolescents</t>
  </si>
  <si>
    <t>LEARNING AND INDIVIDUAL DIFFERENCES</t>
  </si>
  <si>
    <t>This study investigated whether: (a) personality dimensions and trait emotional intelligence relate to actual and perceived social status, (b) social status influence scholastic achievement, and (c) if such associations are moderated by gender. A sample of 595 Italian children and early adolescents completed measures for personality variables, non-verbal cognitive ability, while end of year grades were obtained from school offices. In a sociometric approach, participants rated the degree of each other acceptance and rejection, as well as their own perception of acceptance and rejection within the classroom context. Results indicate that gender moderates the association of personality traits and trait El with actual social status for early adolescents, and with perceived social status for children. Overall, personality impacts social status for female only. Gender also moderates the effects of actual social status on scholastic achievement, with adolescent females being more affected by poor acceptance. Implications are discussed. (C) 2015 Elsevier Inc All rights reserved.</t>
  </si>
  <si>
    <t>[Andrei, Federica; Mancini, Giacomo; Mazzoni, Elvis; Baldaro, Bruno] Univ Bologna, Dept Psychol, I-40127 Bologna, Italy; [Russo, P. M.] Univ Bologna, Dept Specialised, Expt Diagnost Med, S Orsola Malpighi Hosp, I-40138 Bologna, Italy</t>
  </si>
  <si>
    <t>Andrei, F (corresponding author), Univ Bologna, Dept Psychol, Viale Berti Pichat 5, I-40127 Bologna, Italy.</t>
  </si>
  <si>
    <t>federica.andrei2@unibo.it</t>
  </si>
  <si>
    <t>10.1016/j.lindif.2015.07.014</t>
  </si>
  <si>
    <t>WOS:000362153000013</t>
  </si>
  <si>
    <t>Nizamani, S; Memon, N</t>
  </si>
  <si>
    <t>Nizamani, Sarwat; Memon, Nasrullah</t>
  </si>
  <si>
    <t>CNEM: Cluster Based Network Evolution Model</t>
  </si>
  <si>
    <t>MEHRAN UNIVERSITY RESEARCH JOURNAL OF ENGINEERING AND TECHNOLOGY</t>
  </si>
  <si>
    <t>This paper presents a network evolution model, which is based on the clustering approach. The proposed approach depicts the network evolution, which demonstrates the network formation from individual nodes to fully evolved network. An agglomerative hierarchical clustering method is applied for the evolution of network. In the paper, we present three case studies which show the evolution of the networks from the scratch. These case studies include: terrorist network of 9/11 incidents, terrorist network of WMD (Weapons Mass Destruction) plot against France and a network of tweets discussing a topic. The network of 9/11 is also used for evaluation, using other social network analysis methods which show that the clusters created using the proposed model of network evolution are of good quality, thus the proposed method can be used by law enforcement agencies in order to further investigate the criminal networks.</t>
  </si>
  <si>
    <t>[Nizamani, Sarwat] Univ Sindh, Dept Comp Sci, Mirpur Khas Campus, Jamshoro, Pakistan; [Memon, Nasrullah] Univ Southern, Maersk McKinney Moller Inst, Odense, Denmark</t>
  </si>
  <si>
    <t>Nizamani, S (corresponding author), Univ Sindh, Dept Comp Sci, Mirpur Khas Campus, Jamshoro, Pakistan.</t>
  </si>
  <si>
    <t>JAN</t>
  </si>
  <si>
    <t>WOS:000443095000009</t>
  </si>
  <si>
    <t>Osburn, L</t>
  </si>
  <si>
    <t>Grieve, GP; Veidlinger, D</t>
  </si>
  <si>
    <t>Osburn, Laura</t>
  </si>
  <si>
    <t>Between Network and Story Analyzing Hyperlinks and Narratives on Websites about Tibet</t>
  </si>
  <si>
    <t>BUDDHISM, THE INTERNET, AND DIGITAL MEDIA: THE PIXEL IN THE LOTUS</t>
  </si>
  <si>
    <t>Buddhism, the Internet, and Digital Media: The Pixel in the Lotus</t>
  </si>
  <si>
    <t>NOV, 2011</t>
  </si>
  <si>
    <t>Calif State Univ, Chico, CA</t>
  </si>
  <si>
    <t>Calif State Univ</t>
  </si>
  <si>
    <t>[Osburn, Laura] Univ Washington, Dept Commun, Seattle, WA 98195 USA</t>
  </si>
  <si>
    <t>Osburn, L (corresponding author), Univ Washington, Dept Commun, Seattle, WA 98195 USA.</t>
  </si>
  <si>
    <t>WOS:000380612200003</t>
  </si>
  <si>
    <t>Yang, RJ</t>
  </si>
  <si>
    <t>Yang, Rebecca Jing</t>
  </si>
  <si>
    <t>An investigation of stakeholder analysis in urban development projects: Empirical or rationalistic perspectives</t>
  </si>
  <si>
    <t>INTERNATIONAL JOURNAL OF PROJECT MANAGEMENT</t>
  </si>
  <si>
    <t>The increasing research interest in multi-stakeholder analysis in urban planning reflects a growing recognition that stakeholders can and should influence the decision-making of urban development projects. Methods for identifying and prioritising stakeholders and their interests are explored in this study, and two perspectives (empiricism and rationalism) for stakeholder analysis are proposed. Two case studies, one regional renewal project and the other an infrastructure project, are presented to verify the usefulness of these two analysis perspectives. The results from the case studies show that no one method for stakeholder analysis is perfect; the selection of analytical perspective is an art with extensive considerations of 'when, what, and how' to choose methods to achieve the project objectives. Applying both empirical and rationalistic perspectives and comparing the analysis results when necessary are proposed as the best way to analyse stakeholders. (C) 2013 Elsevier Ltd. APM and IPMA. All rights reserved.</t>
  </si>
  <si>
    <t>RMIT Univ, Sch Property Construct &amp; Project Management, Melbourne, Vic, Australia</t>
  </si>
  <si>
    <t>Yang, RJ (corresponding author), RMIT Univ, Sch Property Construct &amp; Project Management, Melbourne, Vic, Australia.</t>
  </si>
  <si>
    <t>mrliljj24@yahoo.com</t>
  </si>
  <si>
    <t>WOS:000337769000011</t>
  </si>
  <si>
    <t>Kim, YG; Hau, YS; Song, S; Ghim, GH</t>
  </si>
  <si>
    <t>Kim, Young-Gul; Hau, Yong Sauk; Song, Seulki; Ghim, Ghi-Hoon</t>
  </si>
  <si>
    <t>Trailing organizational knowledge paths through social network lens: integrating the multiple industry cases</t>
  </si>
  <si>
    <t>JOURNAL OF KNOWLEDGE MANAGEMENT</t>
  </si>
  <si>
    <t>Purpose - This study aims at analyzing the features of knowledge flow and the role-specific nodes in knowledge networks among individuals and business units of six organizations in different industries, and suggesting prescriptions to prevent the organizational knowledge sclerosis. Design/methodology/approach - This research conducts multiple case studies on the organizational knowledge paths of six companies in the multiple industries through social network analysis (SNA) tool developed by the authors of this paper. Findings - This study provides four major findings which shed a new light on how to comprehend the features of knowledge flow and the role-specific nodes in knowledge networks in organizations: the within-business unit knowledge flows are more dominant over the inter-business units knowledge flow; the downward knowledge flows are dominant over the horizontal and upward knowledge flows in the management levels; distributions of knowledge owners and providers are like L-shape and the gap between knowledge owing and providing expands as the management levels go up; and the top 20 percent people in an organization dominate over a large portion of the knowledge brokerage activities. Research limitations/implications - Cultural difference issue might arise because data collection was limited to Korean organizations. Therefore, the findings from this study needs to be cautiously interpreted considering the cultural difference/deeper understanding of the organizational knowledge paths through social network lens can make it possible for more context-specific KM strategies (e.g. suitable for a specific functional unit, management level, or industry type) to be identified and implemented. Practical implications - Managers can have a solid grasp about knowledge flows and knowledge node roles in their organization through social network analysis in order to facilitate the knowledge transfer and eliminate the knowledge link lapse in organizations. Originality/value - This study could be a stepping stone for further empirical research since it expanded the level of organizational knowledge network analysis from individual and team to inter-unit and inter-management level through the block modeling analysis of knowledge network.</t>
  </si>
  <si>
    <t>[Kim, Young-Gul] Korea Adv Inst Sci &amp; Technol, Sch Business, Seoul, South Korea; [Hau, Yong Sauk] Yeungnam Univ, Sch Business, Gyongsan, South Korea; [Song, Seulki; Ghim, Ghi-Hoon] CYRAM, Seoul, South Korea</t>
  </si>
  <si>
    <t>Hau, YS (corresponding author), Yeungnam Univ, Sch Business, Gyongsan, South Korea.</t>
  </si>
  <si>
    <t>augustine@yu.ac.kr</t>
  </si>
  <si>
    <t>10.1108/JKM-06-2013-0237</t>
  </si>
  <si>
    <t>WOS:000333541500003</t>
  </si>
  <si>
    <t>Choe, H; Lee, DH; Seo, IW; Kim, HD</t>
  </si>
  <si>
    <t>Choe, Hochull; Lee, Duk Hee; Seo, Il Won; Kim, Hee Dae</t>
  </si>
  <si>
    <t>Patent citation network analysis for the domain of organic photovoltaic cells: Country, institution, and technology field</t>
  </si>
  <si>
    <t>RENEWABLE &amp; SUSTAINABLE ENERGY REVIEWS</t>
  </si>
  <si>
    <t>The goal of this work is to understand the structure and characteristics of technological knowledge flows between countries, institutions, and technology fields in the field of organic photovoltaic cells. This study was conducted in three stages: data collection, network creation, and network analysis. For network analysis, network visualization, network topological analysis, and node centrality analysis were performed in sequence. The network topological analysis revealed that all three citation networks, i.e., countries, institutions, and technology fields, are scale-free networks that follow the power law and display, to a greater or lesser extent, a more efficient knowledge transfer capability than a random network of the same size. The node centrality analysis showed that the United States, Japan, and Germany are the most important citation centers in the country citation network, while Boeing, Konarka Technologies, Eastman Kodak, and Sharp are the most important in the institution citation network, and the U.S. patent classification (USPC) classes of 136, 257, and 428 are the most important in the technology field citation network, each playing critical roles in each the network as core nodes. In this study, we applied various concepts of centrality to the analysis of individual nodes and found that the results from the network topological analysis and the node centrality analysis are not significantly different. The proposed analysis framework in this paper is applicable to different science and technology domains. (C) 2013 Elsevier Ltd. All rights reserved.</t>
  </si>
  <si>
    <t>[Choe, Hochull] Korea Res Inst Chem Technol, Strategy &amp; Cooperat Div, Policy Dev Team, Taejon 305343, South Korea; [Choe, Hochull; Lee, Duk Hee; Seo, Il Won] Korea Adv Inst Sci &amp; Technol, Dept Management Sci, Taejon 305701, South Korea; [Kim, Hee Dae] Daegu Digital Ind Promot Agcy, Future Strategy Team, Taegu 705701, South Korea</t>
  </si>
  <si>
    <t>Lee, DH (corresponding author), Korea Adv Inst Sci &amp; Technol, Dept Management Sci, 335 Gwahakro, Taejon 305701, South Korea.</t>
  </si>
  <si>
    <t>dhlnexys@kaist.ac.kr</t>
  </si>
  <si>
    <t>10.1016/j.rser.2013.05.037</t>
  </si>
  <si>
    <t>WOS:000325836300037</t>
  </si>
  <si>
    <t>Khan, GF; Park, HW</t>
  </si>
  <si>
    <t>Khan, Gohar Feroz; Park, Han Woo</t>
  </si>
  <si>
    <t>The e-government research domain: A triple helix network analysis of collaboration at the regional, country, and institutional levels</t>
  </si>
  <si>
    <t>GOVERNMENT INFORMATION QUARTERLY</t>
  </si>
  <si>
    <t>This study introduces a hybrid approach (i.e., a social network analysis technique and triple helix indicators) to study certain aspects of the e-government (EG) domain that would otherwise remain hidden when using conventional analytic tools. Particularly, we provide network analysis of the EG research domain by focusing on the network collaboration between regions, nations and institutions. We collected and analyzed 1091 scholarly papers which were classified as being about e-government by the Web of Science database. The results indicate that hybrid method can be used to understand certain network-level structures and patterns in the EG domain which are beyond the scope of the predominantly-used systematic literature review (SLR) method. Particularly, the hybrid method is useful in understanding collaboration patterns between countries, institutions and regions in the EG domain, identifying key players by studying their network properties (i.e., degree centralities); and in understanding the pattern of relations among universities, industries, and government. The implications of these results in terms of research and practice, and study limitations are discussed. (C) 2013 Elsevier Inc. All rights reserved.</t>
  </si>
  <si>
    <t>[Khan, Gohar Feroz] Korea Univ Technol &amp; Educ KoreaTECH, Sch Ind Management, Cheonan 330708, South Korea; [Park, Han Woo] Yeungnam Univ, Dept Media &amp; Commun, Gyongsan, Gyeongsangbuk D, South Korea</t>
  </si>
  <si>
    <t>Park, HW (corresponding author), Yeungnam Univ, Dept Media &amp; Commun, 214-1 Dae Dong, Gyongsan, Gyeongsangbuk D, South Korea.</t>
  </si>
  <si>
    <t>gohar.feroz@gmail.com; hanpark@ynu.ac.kr</t>
  </si>
  <si>
    <t>10.1016/j.giq.2012.09.003</t>
  </si>
  <si>
    <t>WOS:000316974200007</t>
  </si>
  <si>
    <t>Cimon, Y</t>
  </si>
  <si>
    <t>Cimon, Yan</t>
  </si>
  <si>
    <t>Alliances in networks: insights from blockmodeling</t>
  </si>
  <si>
    <t>Purpose - Economic agents in systems (individuals, firms, government organizations, etc.) engage in a wide range of cooperative activities that may be mapped as networks. This paper aims at determining whether alliances embedded in such networks show higher densities of interaction between agents than other network subsets. Design/methodology/approach - This paper uses the blockmodeling technique on a unique sample of armed forces that have engaged in repeated cooperative behaviour over a decade. Findings - This study finds that the alliance in the sample does exhibit a significantly higher density of interaction than the rest of the network. Research limitations/implications - Using blockmodeling may be necessary, but not sufficient, to ascertain the presence of undisclosed alliances in networks. Practical implications This work is useful for the detection of potential or actual collusive behaviour in the form of higher densities of interactions between agents in systems. Originality/value - Blockmodeling, as a technique, and agents like armed forces, as a sample, are uncommon occurrences in the contemporary cybernetics and general systems literature. This paper provides novel insights to research on collaborative behaviour.</t>
  </si>
  <si>
    <t>[Cimon, Yan] Univ Laval, Fac Business Adm, Quebec City, PQ, Canada; [Cimon, Yan] Univ Laval, Interuniv Res Ctr Enterprise Networks Logist &amp; Tr, Quebec City, PQ, Canada</t>
  </si>
  <si>
    <t>Cimon, Y (corresponding author), Univ Laval, Fac Business Adm, Quebec City, PQ, Canada.</t>
  </si>
  <si>
    <t>yan.cimon@fsa.ulaval.ca</t>
  </si>
  <si>
    <t>WOS:000325039300008</t>
  </si>
  <si>
    <t>Khalid, A; Afzal, MT; Qadir, MA</t>
  </si>
  <si>
    <t>Ko, FIS; DalKwack, K; Hwang, S; Kawata, S; Chen, YW</t>
  </si>
  <si>
    <t>Khalid, Afsheen; Afzal, Muhammad Tanvir; Qadir, Muhammad Abdul</t>
  </si>
  <si>
    <t>Citation Network Visualization of CiteSeer Dataset</t>
  </si>
  <si>
    <t>2011 6TH INTERNATIONAL CONFERENCE ON COMPUTER SCIENCES AND CONVERGENCE INFORMATION TECHNOLOGY (ICCIT)</t>
  </si>
  <si>
    <t>6th International Conference on Computer Sciences and Convergence Information Technology (ICCIT)</t>
  </si>
  <si>
    <t>NOV 29-DEC 01, 2011</t>
  </si>
  <si>
    <t>Jeju Island, SOUTH KOREA</t>
  </si>
  <si>
    <t>Citation networks are very dense and large networks. The visualization of such dense networks is a tough task. Furthermore, most of the available tools provide visualization of such networks in the form of static images. However, the static images are not of any use for the users as user cannot interact with the system and cannot find the required information. In this paper, we have implemented a system that generates a dynamic network of citations. We have used CiteSeer dataset for citation network. We have provided the functionalities where a user can magnify the shown graph and can view all the citations of the required selected paper in a radial tree form. We have also provided a lens facility that provides a hyperbolic view and user can zoom in and out the graph in the area of lens. We created this citation network in Pajek tool and then extended the tool by incorporating JUNG libraries of java.</t>
  </si>
  <si>
    <t>[Khalid, Afsheen] Inst Management Sci, Peshawar, Pakistan; [Afzal, Muhammad Tanvir] Muhammad Ali Jinnah Univ, Ctr Distributed &amp; Semant Comp, Islamabad, Pakistan; [Qadir, Muhammad Abdul] Mohammad Ali Jinnah Univ, Ctr Distributed &amp; Semant Comp, Islamabad, Pakistan</t>
  </si>
  <si>
    <t>Khalid, A (corresponding author), Inst Management Sci, Peshawar, Pakistan.</t>
  </si>
  <si>
    <t>afdkhan@yahoo.com; mafzal@jinnah.edu.pk; aqadir@jinnah.edu.pk</t>
  </si>
  <si>
    <t>WOS:000309767600075</t>
  </si>
  <si>
    <t>Yang, J; Shen, GQP; Bourne, L; Ho, CMF; Xue, XL</t>
  </si>
  <si>
    <t>Yang, Jing; Shen, Geoffrey Qiping; Bourne, Lynda; Ho, Christabel Man-Fong; Xue, Xiaolong</t>
  </si>
  <si>
    <t>A typology of operational approaches for stakeholder analysis and engagement</t>
  </si>
  <si>
    <t>CONSTRUCTION MANAGEMENT AND ECONOMICS</t>
  </si>
  <si>
    <t>Stakeholder analysis and engagement are the main tasks in stakeholder management. To identify operational approaches for stakeholder analysis and engagement, six interviews and a questionnaire survey were conducted in Hong Kong, and an additional 15 interviews were held in Australia. The main finding is a typology of practical approaches for practitioners in construction. A total of 30 approaches are comprised in the typology, and they are classified by application. To test the usefulness of the typology, action research is applied to two real-life projects in Australia. The implication is that the selection of the approaches is an art and a contingency approach as well, requiring practitioners' judgments. Each approach has its strengths and limitations, so the most appropriate way for effective stakeholder management is to use a combination of elements from each approach as circumstances dictate. This study can serve as a reference for the systematic consideration of the project management team about the operational approaches for stakeholder management in construction projects.</t>
  </si>
  <si>
    <t>[Yang, Jing] Deakin Univ, Sch Architecture &amp; Bldg, Geelong, Vic, Australia; [Shen, Geoffrey Qiping; Ho, Christabel Man-Fong] Hong Kong Polytech Univ, Dept Bldg &amp; Real Estate, Hong Hom, Hong Kong, Peoples R China; [Bourne, Lynda] Stakeholder Management Pty Ltd, Melbourne, Vic, Australia; [Xue, Xiaolong] Harbin Inst Technol, Dept Construct &amp; Real Estate, Harbin, Peoples R China</t>
  </si>
  <si>
    <t>Yang, J (corresponding author), Deakin Univ, Sch Architecture &amp; Bldg, Geelong, Vic, Australia.</t>
  </si>
  <si>
    <t>10.1080/01446193.2010.521759</t>
  </si>
  <si>
    <t>WOS:000213300800004</t>
  </si>
  <si>
    <t>Caschera, MC; Ferri, F; Grifoni, P</t>
  </si>
  <si>
    <t>Caschera, Maria Chiara; Ferri, Fernando; Grifoni, Patrizia</t>
  </si>
  <si>
    <t>SIM: A dynamic multidimensional visualization method for social networks</t>
  </si>
  <si>
    <t>PSYCHNOLOGY JOURNAL</t>
  </si>
  <si>
    <t>Visualization plays an important role in social networks analysis to explore and investigate individual and groups behaviours. Therefore, different approaches have been proposed for managing networks patterns and structures according to the visualization purposes. This paper presents a method of social networks visualization devoted not only to analyse individual and group social networking but also aimed to stimulate the second-one. This method provides (using a hybrid visualization approach) both an egocentric as well as a global point of view. Indeed, it is devoted to explore the social network structure, to analyse social aggregations and/or individuals and their evolution. Moreover, it considers and integrates features such as real-time social network elements locations in local areas. Multidimensionality consists of social phenomena, their evolution during the time, their individual characterization, the elements social position, and their spatial location. The proposed method was evaluated using the Social Interaction Map (SIM) software module in the scenario of planning and managing a scientific seminars cycle. This method enables the analysis of the topics evolution and the participants' scientific interests changes using a temporal layers sequence for topics. This knowledge provides information for planning next conference and events, to extend and modify main topics and to analyse research interests trends.</t>
  </si>
  <si>
    <t>[Caschera, Maria Chiara; Ferri, Fernando; Grifoni, Patrizia] Inst Res Populat &amp; Social Policies, Natl Res Council, IRPPS, CNR, Rome, Italy</t>
  </si>
  <si>
    <t>Caschera, MC (corresponding author), Inst Res Populat &amp; Social Policies, Natl Res Council, Rome, Italy.</t>
  </si>
  <si>
    <t>mc.caschera@irpps.cnr.it</t>
  </si>
  <si>
    <t>WOS:000416898200005</t>
  </si>
  <si>
    <t>Kim, H; Rhee, EY; Yee, J</t>
  </si>
  <si>
    <t>Kim, Hyunsook; Rhee, Eun-Young; Yee, Jaeyeol</t>
  </si>
  <si>
    <t>JOURNAL OF FASHION MARKETING AND MANAGEMENT</t>
  </si>
  <si>
    <t>Purpose - The purpose of this paper is to gain a better understanding of the fashion process by exploring and comparing fashion-process networks and friendship networks in small groups of adolescents, and to explore the factors involved in the causation of clothing leadership and popularity in such groups. Design/methodology/approach - Fashion-process networks and friendship networks are investigated by sociometric nomination with respect to clothing acceptance and social acceptance in three age groups of Korean adolescents. The patterns and structures of the networks are analyzed using UCINET 6.0 and Netminer 2.6. Certain factors contributing to clothing leadership and popularity are measured using Likert-type scales; these include clothing interest, fashion interest, and perceived clothing acceptance.Other factors of interest (such as academic grade, facial attractiveness, and bodily attractiveness) are rated by peer informants. Findings - Fashion-process networks are found to be more centralized and polarized than friendship networks. Clothing acceptance is related to peer acceptance and is found to occur within and across friendship links. Clothing leaders are not necessarily the most popular subjects. The most significant factor determining clothing leadership is found to be facial attractiveness. Research limitations/implications - Social network analysis is exploratory in nature and the results cannot be statistically verified. However, a better understanding of the characteristics of fashion-process networks in small groups assists in bridging the gap between individual adoption of fashion at the micro-level and fashion diffusion in society at the macro-level. Practical implications - By illuminating the dynamics of the fashion process in small groups, the study is of assistance in developing marketing strategies that target adolescents. Originality/value - The study is original in that fashion process in small groups of Korean adolescents is investigated by social network analysis of clothing acceptance, and then compared to friendship networks.</t>
  </si>
  <si>
    <t>[Kim, Hyunsook; Rhee, Eun-Young] Seoul Natl Univ, Dept Clothing &amp; Text, Seoul, South Korea; [Rhee, Eun-Young] Seoul Natl Univ, Res Inst Human Ecol, Seoul, South Korea; [Yee, Jaeyeol] Seoul Natl Univ, Dept Sociol, Seoul, South Korea</t>
  </si>
  <si>
    <t>Kim, H (corresponding author), Seoul Natl Univ, Dept Clothing &amp; Text, Seoul, South Korea.</t>
  </si>
  <si>
    <t>hskim88@gmail.com</t>
  </si>
  <si>
    <t>+</t>
  </si>
  <si>
    <t>WOS:000212076200009</t>
  </si>
  <si>
    <t>Burk, WJ; Steglich, CEG; Snijders, AB</t>
  </si>
  <si>
    <t>Burk, William J.; Steglich, Christian E. G.; Snijders, A. B.</t>
  </si>
  <si>
    <t>Beyond dyadic interdependence: Actor-oriented models for co-evolving social networks and individual behaviors</t>
  </si>
  <si>
    <t>INTERNATIONAL JOURNAL OF BEHAVIORAL DEVELOPMENT</t>
  </si>
  <si>
    <t>Actor-oriented models are described as a longitudinal strategy for examining the co-evolution of social networks and individual behaviors. We argue that these models provide advantages over conventional approaches due to their ability to account for inherent dependencies between individuals embedded in a social network (i.e., reciprocity, transitivity) and model interdependencies between network and behavioral dynamics. We provide a brief explanation of actor-oriented processes, followed by a description of parameter estimates, model specification, and selection procedures used by the Simulation Investigation for Empirical Network Analyses (SIENA) software program (Snijders, Steglich, Schweinberger, &amp; Huisman, 2006). To illustrate the applicability of these models, we provide an empirical example investigating the co-evolution of friendship networks and delinquent behaviors in a longitudinal sample of Swedish adolescents with the goal of simultaneously assessing selection and influence processes. Findings suggest both processes play a substantive role in the observed dynamics of delinquent behaviors, with influence having a relatively stronger role than selection (especially in reciprocated friendships).</t>
  </si>
  <si>
    <t>Univ Orebro, Ctr Res &amp; Dev, S-70182 Orebro, Sweden; Univ Groningen, NL-9700 AB Groningen, Netherlands; Univ Oxford, Oxford, England</t>
  </si>
  <si>
    <t>Burk, WJ (corresponding author), Univ Orebro, Ctr Res &amp; Dev, S-70182 Orebro, Sweden.</t>
  </si>
  <si>
    <t>william.burk@bsr.oru.se</t>
  </si>
  <si>
    <t>WOS:000248948600011</t>
  </si>
  <si>
    <t>Moody, J; McFarland, D; Bender-deMoll, S</t>
  </si>
  <si>
    <t>Dynamic network visualization</t>
  </si>
  <si>
    <t>AMERICAN JOURNAL OF SOCIOLOGY</t>
  </si>
  <si>
    <t>Increased interest in longitudinal social networks and the recognition that visualization fosters theoretical insight create a need for dynamic network visualizations, or network movies. This article confronts theoretical questions surrounding the temporal representations of social networks and technical questions about how best to link network change to changes in the graphical representation. The authors divide network movies into ( 1) static flip books, where node position remains constant but edges cumulate over time, and ( 2) dynamic movies, where nodes move as a function of changes in relations. Flip books are particularly useful in contexts where relations are sparse. For more connected networks, movies are often more appropriate. Three empirical examples demonstrate the advantages of different movie styles. A new software program for creating network movies is discussed in the appendix.</t>
  </si>
  <si>
    <t>Ohio State Univ, Columbus, OH 43210 USA; Stanford Univ, Stanford, CA 94305 USA</t>
  </si>
  <si>
    <t>Moody, J (corresponding author), Ohio State Univ, 372 Bricker Hall,190 N Oval Mall, Columbus, OH 43210 USA.</t>
  </si>
  <si>
    <t>Moody.77@sociology.osu.edu</t>
  </si>
  <si>
    <t>10.1086/421509</t>
  </si>
  <si>
    <t>WOS:000229472000011</t>
  </si>
  <si>
    <t>10.24881/tjk.2020.11.3.79</t>
  </si>
  <si>
    <t>10.24231/rici.2020.24.1.116</t>
  </si>
  <si>
    <t>10.32349/ECERR.2021.6.25.3.171</t>
  </si>
  <si>
    <t>10.21797/ksme.2020.22.4.010</t>
  </si>
  <si>
    <t>10.22955/ace.23.4.202011.181</t>
  </si>
  <si>
    <t>10.16981/kliss.51.3.202009.103</t>
  </si>
  <si>
    <t>10.22793/indinn.2022.38.2.009</t>
  </si>
  <si>
    <t>10.15703/kjc.22.2.202104.25</t>
  </si>
  <si>
    <t>10.20878/cshr.2021.27.3.001</t>
  </si>
  <si>
    <t>10.22251/jlcci.2020.20.15.849</t>
  </si>
  <si>
    <t>10.46695/ASCS.1.2.1</t>
  </si>
  <si>
    <t>10.26446/kjlrp.2020.3.44.1.29</t>
  </si>
  <si>
    <t>10.17936/pkelt.2020.32.4.011</t>
  </si>
  <si>
    <t>10.21797/ksme.2020.22.4.004</t>
  </si>
  <si>
    <t>10.47635/KJLD.2020.17.2.121</t>
  </si>
  <si>
    <t>10.32451/KJOAPS.2021.17.2.375</t>
  </si>
  <si>
    <t>10.15409/riece.2021.23.3.8</t>
  </si>
  <si>
    <t>10.51979/KSSLS.2020.04.80.297</t>
  </si>
  <si>
    <t>10.46394/ISS.39.2.32</t>
  </si>
  <si>
    <t>10.22155/JFECE.27.4.233.253</t>
  </si>
  <si>
    <t>10.23949/kjpe.2022.7.61.4.12</t>
  </si>
  <si>
    <t>10.15726/jkd.2020.38.2.002</t>
  </si>
  <si>
    <t>10.14370/jewnr.2020.26.2.118</t>
  </si>
  <si>
    <t>10.33949/tws.2022.112.1.007</t>
  </si>
  <si>
    <t>10.51979/KSSLS.2021.07.85.187</t>
  </si>
  <si>
    <t>10.15334/FLE.2020.27.1.211</t>
  </si>
  <si>
    <t>10.20437/KOAECE25-6-06</t>
  </si>
  <si>
    <t>10.5388/aon.2020.20.2.61</t>
  </si>
  <si>
    <t>10.15703/kjc.25.1.202402.117</t>
  </si>
  <si>
    <t>10.14404/JKSARM.2022.22.4.175</t>
  </si>
  <si>
    <t>10.15738/kjell.22..202206.637</t>
  </si>
  <si>
    <t>10.21797/ksme.2022.24.4.004</t>
  </si>
  <si>
    <t>10.20878/cshr.2021.27.6.016</t>
  </si>
  <si>
    <t>10.5762/KAIS.2021.22.6.375</t>
  </si>
  <si>
    <t>10.20878/cshr.2021.27.3.010</t>
  </si>
  <si>
    <t>10.24159/joec.2020.26.2.287</t>
  </si>
  <si>
    <t>10.51979/KSSLS.2020.07.81.193</t>
  </si>
  <si>
    <t>10.21797/ksme.2020.22.2.001</t>
  </si>
  <si>
    <t>10.17232/KSET.39.2.639</t>
  </si>
  <si>
    <t>10.17927/tkjems.2022.34.2.401</t>
  </si>
  <si>
    <t>10.21797/ksme.2022.24.2.005</t>
  </si>
  <si>
    <t>10.22155/JFECE.28.4.205.226</t>
  </si>
  <si>
    <t>10.15702/mall.2021.24.4.214</t>
  </si>
  <si>
    <t>10.16981/kliss.51.4.202012.59</t>
  </si>
  <si>
    <t>10.14519/kjot.2020.28.3.04</t>
  </si>
  <si>
    <t>10.4094/chnr.2023.29.3.182</t>
  </si>
  <si>
    <t>10.46695/ASCS.4.2.2</t>
  </si>
  <si>
    <t>10.22793/indinn.2023.39.4.015</t>
  </si>
  <si>
    <t>10.21797/ksme.2023.25.2.002</t>
  </si>
  <si>
    <t>10.30527/klcc..85.202208.011</t>
  </si>
  <si>
    <t>10.18842/klaces.2022.18.4.010</t>
  </si>
  <si>
    <t>10.46695/ASCS.2.3.2</t>
  </si>
  <si>
    <t>10.3743/KOSIM.2021.38.1.169</t>
  </si>
  <si>
    <t>10.29096/JEE.33.3.07</t>
  </si>
  <si>
    <t>10.35273/jec.2020.10.2.004</t>
  </si>
  <si>
    <t>10.20437/KOAECE29-1-08</t>
  </si>
  <si>
    <t>10.35174/JKCI.2024.03.24.1.47</t>
  </si>
  <si>
    <t>10.19051/kasel.2023.26.2.151</t>
  </si>
  <si>
    <t>10.46695/ASCS.4.3.2</t>
  </si>
  <si>
    <t>10.16999/kasws.2023.54.1.5</t>
  </si>
  <si>
    <t>10.15524/KSAS.2022.23.1.065</t>
  </si>
  <si>
    <t>10.36907/krivet.2022.25.3.219</t>
  </si>
  <si>
    <t>10.17002/sil..61.202110.161</t>
  </si>
  <si>
    <t>10.46394/ISS.39.2.28</t>
  </si>
  <si>
    <t>10.21797/ksme.2021.23.4.005</t>
  </si>
  <si>
    <t>10.9716/KITS.2020.19.1.001</t>
  </si>
  <si>
    <t>10.15707/disem.2024.34.2.011</t>
  </si>
  <si>
    <t>10.36907/krivet.2024.27.2.169</t>
  </si>
  <si>
    <t>10.15738/kjell.23..202305.376</t>
  </si>
  <si>
    <t>10.22921/jrs.2023.31.4.007</t>
  </si>
  <si>
    <t>10.17286/KJEP.2023.37.2.04</t>
  </si>
  <si>
    <t>10.15815/kjcaes.2023.18.1.149</t>
  </si>
  <si>
    <t>10.46394/ISS.41.1.4</t>
  </si>
  <si>
    <t>10.35771/engdoi.2023.36.1.015</t>
  </si>
  <si>
    <t>10.1016/j.ajsl.2022.10.003</t>
  </si>
  <si>
    <t>10.14384/kals.2022.29.4.239</t>
  </si>
  <si>
    <t>10.33519/kwea.2022.13.2.003</t>
  </si>
  <si>
    <t>10.4094/chnr.2021.27.3.201</t>
  </si>
  <si>
    <t>10.15409/riece.2021.23.2.3</t>
  </si>
  <si>
    <t>10.33519/kwea.2021.12.4.003</t>
  </si>
  <si>
    <t>10.14384/kals.2020.27.2.025</t>
  </si>
  <si>
    <t>10.37210/JVER..39.5.149</t>
  </si>
  <si>
    <t>10.31216/BDL.2020.10.3.345</t>
  </si>
  <si>
    <t>10.22251/jlcci.2020.20.16.841</t>
  </si>
  <si>
    <t>10.14698/jkcce.2020.16.06.253</t>
  </si>
  <si>
    <t>10.20437/KOAECE29-5-02</t>
  </si>
  <si>
    <t>10.26743/kaod.2024.24.1.011</t>
  </si>
  <si>
    <t>10.5392/JKCA.2024.24.10.125</t>
  </si>
  <si>
    <t>10.34284/KJGD.2024.08.32.3.139</t>
  </si>
  <si>
    <t>10.32451/KJOAPS.2024.20.3.123</t>
  </si>
  <si>
    <t>10.14333/KJTE.2024.40.2.04</t>
  </si>
  <si>
    <t>10.18397/kcgr.2023.27.3.75</t>
  </si>
  <si>
    <t>10.5762/KAIS.2023.24.9.443</t>
  </si>
  <si>
    <t>10.16936/theoph..43.202304.195</t>
  </si>
  <si>
    <t>10.4275/KSLIS.2023.57.4.311</t>
  </si>
  <si>
    <t>10.22251/jlcci.2023.23.23.63</t>
  </si>
  <si>
    <t>10.46394/ISS.41.2.18</t>
  </si>
  <si>
    <t>10.5392/JKCA.2023.23.03.648</t>
  </si>
  <si>
    <t>10.35154/kjvi.2023.39.3.1</t>
  </si>
  <si>
    <t>10.22368/ksecce.2022.12.2.115</t>
  </si>
  <si>
    <t>10.15812/ter.60.4.202112.663</t>
  </si>
  <si>
    <t>10.21189/JKUGS.24.2.9</t>
  </si>
  <si>
    <t>10.23949/kjpe.2021.9.60.5.24</t>
  </si>
  <si>
    <t>10.15267/keses.2020.39.2.255</t>
  </si>
  <si>
    <t>10.24826/KSCS.13.6.4</t>
  </si>
  <si>
    <t>10.17002/sil..72.202407.155</t>
  </si>
  <si>
    <t>10.15236/ijcpd.2024.20.3.110</t>
  </si>
  <si>
    <t>10.7475/kjan.2024.36.4.298</t>
  </si>
  <si>
    <t>10.17135/jdhs.2024.24.2.107</t>
  </si>
  <si>
    <t>10.14384/kals.2024.31.3.111</t>
  </si>
  <si>
    <t>10.17496/kmer.23.043</t>
  </si>
  <si>
    <t>10.25151/nkje.2024.66.3.007</t>
  </si>
  <si>
    <t>10.51979/KSSLS.2024.10.98.225</t>
  </si>
  <si>
    <t>10.21797/ksme.2024.26.4.008</t>
  </si>
  <si>
    <t>10.21797/ksme.2024.26.4.004</t>
  </si>
  <si>
    <t>10.15734/koed..139.202406.69</t>
  </si>
  <si>
    <t>10.25153/spkom.2024.28.2.009</t>
  </si>
  <si>
    <t>10.17703/JCCT.2024.10.5.715</t>
  </si>
  <si>
    <t>10.22718/kga.2024.8.6.029</t>
  </si>
  <si>
    <t>10.19034/KAYW.2024.26.4.06</t>
  </si>
  <si>
    <t>10.37408/kjls.2024.15.4.77</t>
  </si>
  <si>
    <t>10.35185/KJET.16.3.3</t>
  </si>
  <si>
    <t>10.17936/pkelt.2024.36.3.003</t>
  </si>
  <si>
    <t>10.21797/ksme.2024.26.1.004</t>
  </si>
  <si>
    <t>10.35867/ssulri.2023.56..002</t>
  </si>
  <si>
    <t>10.5392/JKCA.2023.23.01.314</t>
  </si>
  <si>
    <t>10.46394/ISS.41.2.20</t>
  </si>
  <si>
    <t>10.23214/kura.2023.9.3.006</t>
  </si>
  <si>
    <t>10.33502/JKSMH.13.2.083</t>
  </si>
  <si>
    <t>10.21797/ksme.2023.25.4.001</t>
  </si>
  <si>
    <t>10.13106/JWMAP.2022.VOL5.NO4.33</t>
  </si>
  <si>
    <t>10.9798/KOSHAM.2022.22.1.45</t>
  </si>
  <si>
    <t>10.20878/cshr.2021.27.9.007</t>
  </si>
  <si>
    <t>10.16938/ijtfs.2021.16.1.001</t>
  </si>
  <si>
    <t>10.15814/jpr.2021.25.3.1</t>
  </si>
  <si>
    <t>10.21797/ksme.2020.22.4.006</t>
  </si>
  <si>
    <t>10.22340/seps.2020.11.10.4.205</t>
  </si>
  <si>
    <t>doi 중복</t>
    <phoneticPr fontId="1" type="noConversion"/>
  </si>
  <si>
    <t>제목 중복</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</si>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</sst>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맑은 고딕"/>
      <family val="2"/>
      <scheme val="minor"/>
    </font>
    <font>
      <sz val="8"/>
      <name val="맑은 고딕"/>
      <family val="3"/>
      <charset val="129"/>
      <scheme val="minor"/>
    </font>
    <font>
      <u/>
      <sz val="11"/>
      <color theme="10"/>
      <name val="맑은 고딕"/>
      <family val="2"/>
      <scheme val="minor"/>
    </font>
    <font>
      <sz val="11"/>
      <color theme="1"/>
      <name val="Noto Sans KR"/>
      <family val="2"/>
      <charset val="1"/>
    </font>
    <font>
      <sz val="11"/>
      <color theme="1"/>
      <name val="Noto Sans KR"/>
      <family val="2"/>
      <charset val="129"/>
    </font>
    <font>
      <sz val="10"/>
      <name val="Arial"/>
      <family val="2"/>
    </font>
    <font>
      <sz val="10"/>
      <name val="맑은 고딕"/>
      <family val="3"/>
      <charset val="129"/>
    </font>
    <font>
      <sz val="8"/>
      <name val="돋움"/>
      <family val="3"/>
      <charset val="129"/>
    </font>
    <font>
      <sz val="10"/>
      <name val="맑은 고딕"/>
      <family val="2"/>
      <charset val="129"/>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5"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5" fillId="0" borderId="0" xfId="0" applyFont="1"/>
    <xf numFmtId="0" fontId="5" fillId="0" borderId="0" xfId="2"/>
  </cellXfs>
  <cellStyles count="3">
    <cellStyle name="표준" xfId="0" builtinId="0"/>
    <cellStyle name="표준 2" xfId="2"/>
    <cellStyle name="하이퍼링크" xfId="1" builtinId="8"/>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24231/rici.2020.24.1.116" TargetMode="External"/><Relationship Id="rId7" Type="http://schemas.openxmlformats.org/officeDocument/2006/relationships/printerSettings" Target="../printerSettings/printerSettings1.bin"/><Relationship Id="rId2" Type="http://schemas.openxmlformats.org/officeDocument/2006/relationships/hyperlink" Target="http://dx.doi.org/10.24881/tjk.2020.11.3.79" TargetMode="External"/><Relationship Id="rId1" Type="http://schemas.openxmlformats.org/officeDocument/2006/relationships/hyperlink" Target="https://link.springer.com/chapter/10.1007/978-3-319-96133-0_29" TargetMode="External"/><Relationship Id="rId6" Type="http://schemas.openxmlformats.org/officeDocument/2006/relationships/hyperlink" Target="http://dx.doi.org/10.33519/kwea.2022.13.2.003" TargetMode="External"/><Relationship Id="rId5" Type="http://schemas.openxmlformats.org/officeDocument/2006/relationships/hyperlink" Target="http://dx.doi.org/10.32349/ECERR.2021.6.25.3.171" TargetMode="External"/><Relationship Id="rId4" Type="http://schemas.openxmlformats.org/officeDocument/2006/relationships/hyperlink" Target="http://dx.doi.org/10.23949/kjpe.2021.3.60.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5"/>
  <sheetViews>
    <sheetView tabSelected="1" zoomScale="70" zoomScaleNormal="70" workbookViewId="0">
      <pane xSplit="1" ySplit="1" topLeftCell="B2" activePane="bottomRight" state="frozen"/>
      <selection pane="topRight" activeCell="C1" sqref="C1"/>
      <selection pane="bottomLeft" activeCell="A2" sqref="A2"/>
      <selection pane="bottomRight" activeCell="A2" sqref="A2"/>
    </sheetView>
  </sheetViews>
  <sheetFormatPr defaultRowHeight="16.5" x14ac:dyDescent="0.3"/>
  <cols>
    <col min="1" max="1" width="112.25" style="1" customWidth="1"/>
    <col min="2" max="2" width="25.625" style="1" customWidth="1"/>
    <col min="3" max="5" width="9" style="1" customWidth="1"/>
    <col min="6" max="6" width="23.125" style="1" customWidth="1"/>
    <col min="7" max="16384" width="9" style="1"/>
  </cols>
  <sheetData>
    <row r="1" spans="1:6" x14ac:dyDescent="0.3">
      <c r="A1" s="1" t="s">
        <v>0</v>
      </c>
      <c r="B1" s="1" t="s">
        <v>1</v>
      </c>
      <c r="C1" s="1" t="s">
        <v>2</v>
      </c>
      <c r="D1" s="1" t="s">
        <v>3</v>
      </c>
      <c r="E1" s="1" t="s">
        <v>4</v>
      </c>
      <c r="F1" s="1" t="s">
        <v>5</v>
      </c>
    </row>
    <row r="2" spans="1:6" x14ac:dyDescent="0.3">
      <c r="A2" s="1" t="s">
        <v>1213</v>
      </c>
      <c r="B2" s="1" t="s">
        <v>1214</v>
      </c>
      <c r="C2" s="1" t="s">
        <v>1215</v>
      </c>
      <c r="E2" s="1" t="s">
        <v>10</v>
      </c>
      <c r="F2" s="1" t="s">
        <v>1515</v>
      </c>
    </row>
    <row r="3" spans="1:6" x14ac:dyDescent="0.3">
      <c r="A3" s="1" t="s">
        <v>574</v>
      </c>
      <c r="B3" s="1" t="s">
        <v>575</v>
      </c>
      <c r="C3" s="1" t="s">
        <v>576</v>
      </c>
      <c r="D3" s="1" t="s">
        <v>577</v>
      </c>
      <c r="E3" s="1" t="s">
        <v>10</v>
      </c>
      <c r="F3" s="1" t="s">
        <v>2724</v>
      </c>
    </row>
    <row r="4" spans="1:6" x14ac:dyDescent="0.3">
      <c r="A4" s="1" t="s">
        <v>82</v>
      </c>
      <c r="B4" s="1" t="s">
        <v>83</v>
      </c>
      <c r="C4" s="1" t="s">
        <v>82</v>
      </c>
      <c r="E4" s="1" t="s">
        <v>10</v>
      </c>
      <c r="F4" s="1" t="s">
        <v>84</v>
      </c>
    </row>
    <row r="5" spans="1:6" x14ac:dyDescent="0.3">
      <c r="A5" s="1" t="s">
        <v>768</v>
      </c>
      <c r="B5" s="1" t="s">
        <v>1272</v>
      </c>
      <c r="C5" s="1" t="s">
        <v>1185</v>
      </c>
      <c r="E5" s="1" t="s">
        <v>10</v>
      </c>
      <c r="F5" s="1" t="s">
        <v>1544</v>
      </c>
    </row>
    <row r="6" spans="1:6" x14ac:dyDescent="0.3">
      <c r="A6" s="1" t="s">
        <v>252</v>
      </c>
      <c r="B6" s="1" t="s">
        <v>253</v>
      </c>
      <c r="C6" s="1" t="s">
        <v>254</v>
      </c>
      <c r="D6" s="1" t="s">
        <v>255</v>
      </c>
      <c r="E6" s="1" t="s">
        <v>10</v>
      </c>
      <c r="F6" s="1" t="s">
        <v>2751</v>
      </c>
    </row>
    <row r="7" spans="1:6" x14ac:dyDescent="0.3">
      <c r="A7" s="1" t="s">
        <v>753</v>
      </c>
      <c r="B7" s="1" t="s">
        <v>755</v>
      </c>
      <c r="C7" s="1" t="s">
        <v>706</v>
      </c>
      <c r="D7" s="1" t="s">
        <v>707</v>
      </c>
      <c r="E7" s="1" t="s">
        <v>10</v>
      </c>
      <c r="F7" s="1" t="s">
        <v>1632</v>
      </c>
    </row>
    <row r="8" spans="1:6" x14ac:dyDescent="0.3">
      <c r="A8" s="1" t="s">
        <v>503</v>
      </c>
      <c r="B8" s="1" t="s">
        <v>505</v>
      </c>
      <c r="C8" s="1" t="s">
        <v>506</v>
      </c>
      <c r="D8" s="1" t="s">
        <v>507</v>
      </c>
      <c r="E8" s="1" t="s">
        <v>10</v>
      </c>
      <c r="F8" s="1" t="s">
        <v>2752</v>
      </c>
    </row>
    <row r="9" spans="1:6" x14ac:dyDescent="0.3">
      <c r="A9" s="1" t="s">
        <v>499</v>
      </c>
      <c r="B9" s="1" t="s">
        <v>500</v>
      </c>
      <c r="C9" s="1" t="s">
        <v>501</v>
      </c>
      <c r="D9" s="1" t="s">
        <v>502</v>
      </c>
      <c r="E9" s="1" t="s">
        <v>10</v>
      </c>
    </row>
    <row r="10" spans="1:6" x14ac:dyDescent="0.3">
      <c r="A10" s="1" t="s">
        <v>465</v>
      </c>
      <c r="B10" s="1" t="s">
        <v>467</v>
      </c>
      <c r="C10" s="1" t="s">
        <v>468</v>
      </c>
      <c r="D10" s="1" t="s">
        <v>469</v>
      </c>
      <c r="E10" s="1" t="s">
        <v>10</v>
      </c>
    </row>
    <row r="11" spans="1:6" x14ac:dyDescent="0.3">
      <c r="A11" s="1" t="s">
        <v>458</v>
      </c>
      <c r="B11" s="1" t="s">
        <v>459</v>
      </c>
      <c r="C11" s="1" t="s">
        <v>244</v>
      </c>
      <c r="D11" s="1" t="s">
        <v>460</v>
      </c>
      <c r="E11" s="1" t="s">
        <v>10</v>
      </c>
      <c r="F11" s="1" t="s">
        <v>2762</v>
      </c>
    </row>
    <row r="12" spans="1:6" x14ac:dyDescent="0.3">
      <c r="A12" s="1" t="s">
        <v>392</v>
      </c>
      <c r="B12" s="1" t="s">
        <v>393</v>
      </c>
      <c r="C12" s="1" t="s">
        <v>394</v>
      </c>
      <c r="D12" s="1" t="s">
        <v>395</v>
      </c>
      <c r="E12" s="1" t="s">
        <v>10</v>
      </c>
      <c r="F12" s="1" t="s">
        <v>2763</v>
      </c>
    </row>
    <row r="13" spans="1:6" x14ac:dyDescent="0.3">
      <c r="A13" s="1" t="s">
        <v>271</v>
      </c>
      <c r="B13" s="1" t="s">
        <v>272</v>
      </c>
      <c r="C13" s="1" t="s">
        <v>273</v>
      </c>
      <c r="D13" s="1" t="s">
        <v>274</v>
      </c>
      <c r="E13" s="1" t="s">
        <v>10</v>
      </c>
    </row>
    <row r="14" spans="1:6" x14ac:dyDescent="0.3">
      <c r="A14" s="1" t="s">
        <v>1287</v>
      </c>
      <c r="B14" s="1" t="s">
        <v>1288</v>
      </c>
      <c r="C14" s="1" t="s">
        <v>1257</v>
      </c>
      <c r="E14" s="1" t="s">
        <v>10</v>
      </c>
      <c r="F14" s="1" t="s">
        <v>1554</v>
      </c>
    </row>
    <row r="15" spans="1:6" x14ac:dyDescent="0.3">
      <c r="A15" s="1" t="s">
        <v>1668</v>
      </c>
      <c r="B15" s="1" t="s">
        <v>1275</v>
      </c>
      <c r="C15" s="1" t="s">
        <v>1276</v>
      </c>
      <c r="E15" s="1" t="s">
        <v>10</v>
      </c>
      <c r="F15" s="1" t="s">
        <v>1546</v>
      </c>
    </row>
    <row r="16" spans="1:6" x14ac:dyDescent="0.3">
      <c r="A16" s="1" t="s">
        <v>381</v>
      </c>
      <c r="B16" s="1" t="s">
        <v>1279</v>
      </c>
      <c r="C16" s="1" t="s">
        <v>1280</v>
      </c>
      <c r="E16" s="1" t="s">
        <v>10</v>
      </c>
      <c r="F16" s="1" t="s">
        <v>1549</v>
      </c>
    </row>
    <row r="17" spans="1:6" x14ac:dyDescent="0.3">
      <c r="A17" s="1" t="s">
        <v>1304</v>
      </c>
      <c r="B17" s="1" t="s">
        <v>1305</v>
      </c>
      <c r="C17" s="1" t="s">
        <v>1306</v>
      </c>
      <c r="E17" s="1" t="s">
        <v>10</v>
      </c>
      <c r="F17" s="1" t="s">
        <v>1563</v>
      </c>
    </row>
    <row r="18" spans="1:6" x14ac:dyDescent="0.3">
      <c r="A18" s="1" t="s">
        <v>751</v>
      </c>
      <c r="B18" s="1" t="s">
        <v>1251</v>
      </c>
      <c r="C18" s="1" t="s">
        <v>1185</v>
      </c>
      <c r="E18" s="1" t="s">
        <v>10</v>
      </c>
      <c r="F18" s="1" t="s">
        <v>1532</v>
      </c>
    </row>
    <row r="19" spans="1:6" x14ac:dyDescent="0.3">
      <c r="A19" s="1" t="s">
        <v>777</v>
      </c>
      <c r="B19" s="1" t="s">
        <v>1244</v>
      </c>
      <c r="C19" s="1" t="s">
        <v>1185</v>
      </c>
      <c r="E19" s="1" t="s">
        <v>10</v>
      </c>
      <c r="F19" s="1" t="s">
        <v>1528</v>
      </c>
    </row>
    <row r="20" spans="1:6" x14ac:dyDescent="0.3">
      <c r="A20" s="1" t="s">
        <v>1194</v>
      </c>
      <c r="B20" s="1" t="s">
        <v>1195</v>
      </c>
      <c r="C20" s="1" t="s">
        <v>1196</v>
      </c>
      <c r="E20" s="1" t="s">
        <v>10</v>
      </c>
      <c r="F20" s="1" t="s">
        <v>1505</v>
      </c>
    </row>
    <row r="21" spans="1:6" x14ac:dyDescent="0.3">
      <c r="A21" s="1" t="s">
        <v>409</v>
      </c>
      <c r="B21" s="1" t="s">
        <v>410</v>
      </c>
      <c r="C21" s="1" t="s">
        <v>254</v>
      </c>
      <c r="D21" s="1" t="s">
        <v>255</v>
      </c>
      <c r="E21" s="1" t="s">
        <v>10</v>
      </c>
      <c r="F21" s="1" t="s">
        <v>2781</v>
      </c>
    </row>
    <row r="22" spans="1:6" x14ac:dyDescent="0.3">
      <c r="A22" s="1" t="s">
        <v>413</v>
      </c>
      <c r="B22" s="1" t="s">
        <v>414</v>
      </c>
      <c r="C22" s="1" t="s">
        <v>415</v>
      </c>
      <c r="D22" s="1" t="s">
        <v>416</v>
      </c>
      <c r="E22" s="1" t="s">
        <v>10</v>
      </c>
      <c r="F22" s="1" t="s">
        <v>2782</v>
      </c>
    </row>
    <row r="23" spans="1:6" x14ac:dyDescent="0.3">
      <c r="A23" s="1" t="s">
        <v>585</v>
      </c>
      <c r="B23" s="1" t="s">
        <v>587</v>
      </c>
      <c r="C23" s="1" t="s">
        <v>407</v>
      </c>
      <c r="D23" s="1" t="s">
        <v>408</v>
      </c>
      <c r="E23" s="1" t="s">
        <v>10</v>
      </c>
      <c r="F23" s="1" t="s">
        <v>2783</v>
      </c>
    </row>
    <row r="24" spans="1:6" x14ac:dyDescent="0.3">
      <c r="A24" s="1" t="s">
        <v>602</v>
      </c>
      <c r="B24" s="1" t="s">
        <v>604</v>
      </c>
      <c r="C24" s="1" t="s">
        <v>605</v>
      </c>
      <c r="D24" s="1" t="s">
        <v>606</v>
      </c>
      <c r="E24" s="1" t="s">
        <v>10</v>
      </c>
      <c r="F24" s="1" t="s">
        <v>1655</v>
      </c>
    </row>
    <row r="25" spans="1:6" x14ac:dyDescent="0.3">
      <c r="A25" s="1" t="s">
        <v>767</v>
      </c>
      <c r="B25" s="1" t="s">
        <v>769</v>
      </c>
      <c r="C25" s="1" t="s">
        <v>717</v>
      </c>
      <c r="D25" s="1" t="s">
        <v>718</v>
      </c>
      <c r="E25" s="1" t="s">
        <v>10</v>
      </c>
      <c r="F25" s="1" t="s">
        <v>1544</v>
      </c>
    </row>
    <row r="26" spans="1:6" x14ac:dyDescent="0.3">
      <c r="A26" s="1" t="s">
        <v>817</v>
      </c>
      <c r="B26" s="1" t="s">
        <v>819</v>
      </c>
      <c r="C26" s="1" t="s">
        <v>820</v>
      </c>
      <c r="D26" s="1" t="s">
        <v>821</v>
      </c>
      <c r="E26" s="1" t="s">
        <v>10</v>
      </c>
      <c r="F26" s="1" t="s">
        <v>2784</v>
      </c>
    </row>
    <row r="27" spans="1:6" x14ac:dyDescent="0.3">
      <c r="A27" s="1" t="s">
        <v>538</v>
      </c>
      <c r="B27" s="1" t="s">
        <v>540</v>
      </c>
      <c r="C27" s="1" t="s">
        <v>541</v>
      </c>
      <c r="D27" s="1" t="s">
        <v>542</v>
      </c>
      <c r="E27" s="1" t="s">
        <v>10</v>
      </c>
      <c r="F27" s="1" t="s">
        <v>2785</v>
      </c>
    </row>
    <row r="28" spans="1:6" x14ac:dyDescent="0.3">
      <c r="A28" s="1" t="s">
        <v>380</v>
      </c>
      <c r="B28" s="1" t="s">
        <v>382</v>
      </c>
      <c r="C28" s="1" t="s">
        <v>299</v>
      </c>
      <c r="D28" s="1" t="s">
        <v>300</v>
      </c>
      <c r="E28" s="1" t="s">
        <v>10</v>
      </c>
      <c r="F28" s="1" t="s">
        <v>2786</v>
      </c>
    </row>
    <row r="29" spans="1:6" x14ac:dyDescent="0.3">
      <c r="A29" s="1" t="s">
        <v>616</v>
      </c>
      <c r="B29" s="1" t="s">
        <v>617</v>
      </c>
      <c r="C29" s="1" t="s">
        <v>618</v>
      </c>
      <c r="D29" s="1" t="s">
        <v>619</v>
      </c>
      <c r="E29" s="1" t="s">
        <v>10</v>
      </c>
    </row>
    <row r="30" spans="1:6" x14ac:dyDescent="0.3">
      <c r="A30" s="1" t="s">
        <v>433</v>
      </c>
      <c r="B30" s="1" t="s">
        <v>435</v>
      </c>
      <c r="C30" s="1" t="s">
        <v>285</v>
      </c>
      <c r="D30" s="1" t="s">
        <v>286</v>
      </c>
      <c r="E30" s="1" t="s">
        <v>10</v>
      </c>
      <c r="F30" s="1" t="s">
        <v>2800</v>
      </c>
    </row>
    <row r="31" spans="1:6" x14ac:dyDescent="0.3">
      <c r="A31" s="1" t="s">
        <v>648</v>
      </c>
      <c r="B31" s="1" t="s">
        <v>533</v>
      </c>
      <c r="C31" s="1" t="s">
        <v>649</v>
      </c>
      <c r="D31" s="1" t="s">
        <v>650</v>
      </c>
      <c r="E31" s="1" t="s">
        <v>10</v>
      </c>
      <c r="F31" s="1" t="s">
        <v>2801</v>
      </c>
    </row>
    <row r="32" spans="1:6" x14ac:dyDescent="0.3">
      <c r="A32" s="1" t="s">
        <v>1357</v>
      </c>
      <c r="B32" s="1" t="s">
        <v>1358</v>
      </c>
      <c r="C32" s="1" t="s">
        <v>1359</v>
      </c>
      <c r="E32" s="1" t="s">
        <v>10</v>
      </c>
      <c r="F32" s="1" t="s">
        <v>1589</v>
      </c>
    </row>
    <row r="33" spans="1:6" x14ac:dyDescent="0.3">
      <c r="A33" s="1" t="s">
        <v>1421</v>
      </c>
      <c r="B33" s="1" t="s">
        <v>1422</v>
      </c>
      <c r="C33" s="1" t="s">
        <v>1423</v>
      </c>
      <c r="E33" s="1" t="s">
        <v>10</v>
      </c>
      <c r="F33" s="1" t="s">
        <v>1627</v>
      </c>
    </row>
    <row r="34" spans="1:6" x14ac:dyDescent="0.3">
      <c r="A34" s="1" t="s">
        <v>293</v>
      </c>
      <c r="B34" s="1" t="s">
        <v>1377</v>
      </c>
      <c r="C34" s="1" t="s">
        <v>1378</v>
      </c>
      <c r="E34" s="1" t="s">
        <v>10</v>
      </c>
      <c r="F34" s="1" t="s">
        <v>1601</v>
      </c>
    </row>
    <row r="35" spans="1:6" x14ac:dyDescent="0.3">
      <c r="A35" s="1" t="s">
        <v>596</v>
      </c>
      <c r="B35" s="1" t="s">
        <v>1468</v>
      </c>
      <c r="C35" s="1" t="s">
        <v>1264</v>
      </c>
      <c r="E35" s="1" t="s">
        <v>10</v>
      </c>
      <c r="F35" s="1" t="s">
        <v>1653</v>
      </c>
    </row>
    <row r="36" spans="1:6" x14ac:dyDescent="0.3">
      <c r="A36" s="1" t="s">
        <v>691</v>
      </c>
      <c r="B36" s="1" t="s">
        <v>692</v>
      </c>
      <c r="C36" s="1" t="s">
        <v>680</v>
      </c>
      <c r="D36" s="1" t="s">
        <v>681</v>
      </c>
      <c r="E36" s="1" t="s">
        <v>10</v>
      </c>
      <c r="F36" s="1" t="s">
        <v>2802</v>
      </c>
    </row>
    <row r="37" spans="1:6" x14ac:dyDescent="0.3">
      <c r="A37" s="1" t="s">
        <v>1325</v>
      </c>
      <c r="B37" s="1" t="s">
        <v>1326</v>
      </c>
      <c r="C37" s="1" t="s">
        <v>1327</v>
      </c>
      <c r="E37" s="1" t="s">
        <v>10</v>
      </c>
      <c r="F37" s="1" t="s">
        <v>1573</v>
      </c>
    </row>
    <row r="38" spans="1:6" x14ac:dyDescent="0.3">
      <c r="A38" s="1" t="s">
        <v>466</v>
      </c>
      <c r="B38" s="1" t="s">
        <v>1456</v>
      </c>
      <c r="C38" s="1" t="s">
        <v>1457</v>
      </c>
      <c r="E38" s="1" t="s">
        <v>10</v>
      </c>
      <c r="F38" s="1" t="s">
        <v>1648</v>
      </c>
    </row>
    <row r="39" spans="1:6" x14ac:dyDescent="0.3">
      <c r="A39" s="1" t="s">
        <v>1666</v>
      </c>
      <c r="B39" s="1" t="s">
        <v>1373</v>
      </c>
      <c r="C39" s="1" t="s">
        <v>1276</v>
      </c>
      <c r="E39" s="1" t="s">
        <v>10</v>
      </c>
      <c r="F39" s="1" t="s">
        <v>1598</v>
      </c>
    </row>
    <row r="40" spans="1:6" x14ac:dyDescent="0.3">
      <c r="A40" s="1" t="s">
        <v>504</v>
      </c>
      <c r="B40" s="1" t="s">
        <v>1419</v>
      </c>
      <c r="C40" s="1" t="s">
        <v>1420</v>
      </c>
      <c r="E40" s="1" t="s">
        <v>10</v>
      </c>
      <c r="F40" s="1" t="s">
        <v>1626</v>
      </c>
    </row>
    <row r="41" spans="1:6" x14ac:dyDescent="0.3">
      <c r="A41" s="1" t="s">
        <v>818</v>
      </c>
      <c r="B41" s="1" t="s">
        <v>1479</v>
      </c>
      <c r="C41" s="1" t="s">
        <v>1480</v>
      </c>
      <c r="E41" s="1" t="s">
        <v>10</v>
      </c>
      <c r="F41" s="1" t="s">
        <v>1659</v>
      </c>
    </row>
    <row r="42" spans="1:6" x14ac:dyDescent="0.3">
      <c r="A42" s="1" t="s">
        <v>807</v>
      </c>
      <c r="B42" s="1" t="s">
        <v>1476</v>
      </c>
      <c r="C42" s="1" t="s">
        <v>1313</v>
      </c>
      <c r="E42" s="1" t="s">
        <v>10</v>
      </c>
      <c r="F42" s="1" t="s">
        <v>1658</v>
      </c>
    </row>
    <row r="43" spans="1:6" x14ac:dyDescent="0.3">
      <c r="A43" s="1" t="s">
        <v>262</v>
      </c>
      <c r="B43" s="1" t="s">
        <v>1342</v>
      </c>
      <c r="C43" s="1" t="s">
        <v>1343</v>
      </c>
      <c r="E43" s="1" t="s">
        <v>10</v>
      </c>
      <c r="F43" s="1" t="s">
        <v>1580</v>
      </c>
    </row>
    <row r="44" spans="1:6" x14ac:dyDescent="0.3">
      <c r="A44" s="1" t="s">
        <v>1329</v>
      </c>
      <c r="B44" s="1" t="s">
        <v>1330</v>
      </c>
      <c r="C44" s="1" t="s">
        <v>1331</v>
      </c>
      <c r="E44" s="1" t="s">
        <v>10</v>
      </c>
      <c r="F44" s="1" t="s">
        <v>1575</v>
      </c>
    </row>
    <row r="45" spans="1:6" x14ac:dyDescent="0.3">
      <c r="A45" s="1" t="s">
        <v>659</v>
      </c>
      <c r="B45" s="1" t="s">
        <v>660</v>
      </c>
      <c r="C45" s="1" t="s">
        <v>661</v>
      </c>
      <c r="D45" s="1" t="s">
        <v>662</v>
      </c>
      <c r="E45" s="1" t="s">
        <v>10</v>
      </c>
      <c r="F45" s="1" t="s">
        <v>1575</v>
      </c>
    </row>
    <row r="46" spans="1:6" x14ac:dyDescent="0.3">
      <c r="A46" s="1" t="s">
        <v>319</v>
      </c>
      <c r="B46" s="1" t="s">
        <v>1350</v>
      </c>
      <c r="C46" s="1" t="s">
        <v>1351</v>
      </c>
      <c r="E46" s="1" t="s">
        <v>10</v>
      </c>
      <c r="F46" s="1" t="s">
        <v>1584</v>
      </c>
    </row>
    <row r="47" spans="1:6" x14ac:dyDescent="0.3">
      <c r="A47" s="1" t="s">
        <v>1665</v>
      </c>
      <c r="B47" s="1" t="s">
        <v>1477</v>
      </c>
      <c r="C47" s="1" t="s">
        <v>1478</v>
      </c>
      <c r="E47" s="1" t="s">
        <v>10</v>
      </c>
    </row>
    <row r="48" spans="1:6" x14ac:dyDescent="0.3">
      <c r="A48" s="1" t="s">
        <v>763</v>
      </c>
      <c r="B48" s="1" t="s">
        <v>764</v>
      </c>
      <c r="C48" s="1" t="s">
        <v>765</v>
      </c>
      <c r="D48" s="1" t="s">
        <v>766</v>
      </c>
      <c r="E48" s="1" t="s">
        <v>10</v>
      </c>
      <c r="F48" s="1" t="s">
        <v>2803</v>
      </c>
    </row>
    <row r="49" spans="1:6" x14ac:dyDescent="0.3">
      <c r="A49" s="1" t="s">
        <v>586</v>
      </c>
      <c r="B49" s="1" t="s">
        <v>1454</v>
      </c>
      <c r="C49" s="1" t="s">
        <v>1431</v>
      </c>
      <c r="E49" s="1" t="s">
        <v>10</v>
      </c>
      <c r="F49" s="1" t="s">
        <v>1646</v>
      </c>
    </row>
    <row r="50" spans="1:6" x14ac:dyDescent="0.3">
      <c r="A50" s="1" t="s">
        <v>720</v>
      </c>
      <c r="B50" s="1" t="s">
        <v>1440</v>
      </c>
      <c r="C50" s="1" t="s">
        <v>706</v>
      </c>
      <c r="E50" s="1" t="s">
        <v>10</v>
      </c>
      <c r="F50" s="1" t="s">
        <v>1637</v>
      </c>
    </row>
    <row r="51" spans="1:6" x14ac:dyDescent="0.3">
      <c r="A51" s="1" t="s">
        <v>1389</v>
      </c>
      <c r="B51" s="1" t="s">
        <v>1390</v>
      </c>
      <c r="C51" s="1" t="s">
        <v>1391</v>
      </c>
      <c r="E51" s="1" t="s">
        <v>10</v>
      </c>
      <c r="F51" s="1" t="s">
        <v>1609</v>
      </c>
    </row>
    <row r="52" spans="1:6" x14ac:dyDescent="0.3">
      <c r="A52" s="1" t="s">
        <v>331</v>
      </c>
      <c r="B52" s="1" t="s">
        <v>1369</v>
      </c>
      <c r="C52" s="1" t="s">
        <v>1370</v>
      </c>
      <c r="E52" s="1" t="s">
        <v>10</v>
      </c>
      <c r="F52" s="1" t="s">
        <v>1596</v>
      </c>
    </row>
    <row r="53" spans="1:6" x14ac:dyDescent="0.3">
      <c r="A53" s="1" t="s">
        <v>524</v>
      </c>
      <c r="B53" s="1" t="s">
        <v>1402</v>
      </c>
      <c r="C53" s="1" t="s">
        <v>1403</v>
      </c>
      <c r="E53" s="1" t="s">
        <v>10</v>
      </c>
      <c r="F53" s="1" t="s">
        <v>1617</v>
      </c>
    </row>
    <row r="54" spans="1:6" x14ac:dyDescent="0.3">
      <c r="A54" s="1" t="s">
        <v>566</v>
      </c>
      <c r="B54" s="1" t="s">
        <v>567</v>
      </c>
      <c r="C54" s="1" t="s">
        <v>568</v>
      </c>
      <c r="D54" s="1" t="s">
        <v>569</v>
      </c>
      <c r="E54" s="1" t="s">
        <v>10</v>
      </c>
    </row>
    <row r="55" spans="1:6" x14ac:dyDescent="0.3">
      <c r="A55" s="1" t="s">
        <v>1441</v>
      </c>
      <c r="B55" s="1" t="s">
        <v>1442</v>
      </c>
      <c r="C55" s="1" t="s">
        <v>1413</v>
      </c>
      <c r="E55" s="1" t="s">
        <v>10</v>
      </c>
      <c r="F55" s="1" t="s">
        <v>1638</v>
      </c>
    </row>
    <row r="56" spans="1:6" x14ac:dyDescent="0.3">
      <c r="A56" s="1" t="s">
        <v>667</v>
      </c>
      <c r="B56" s="1" t="s">
        <v>668</v>
      </c>
      <c r="C56" s="1" t="s">
        <v>669</v>
      </c>
      <c r="D56" s="1" t="s">
        <v>670</v>
      </c>
      <c r="E56" s="1" t="s">
        <v>10</v>
      </c>
      <c r="F56" s="1" t="s">
        <v>2804</v>
      </c>
    </row>
    <row r="57" spans="1:6" x14ac:dyDescent="0.3">
      <c r="A57" s="1" t="s">
        <v>631</v>
      </c>
      <c r="B57" s="1" t="s">
        <v>533</v>
      </c>
      <c r="C57" s="1" t="s">
        <v>632</v>
      </c>
      <c r="D57" s="1" t="s">
        <v>633</v>
      </c>
      <c r="E57" s="1" t="s">
        <v>10</v>
      </c>
      <c r="F57" s="1" t="s">
        <v>2805</v>
      </c>
    </row>
    <row r="58" spans="1:6" x14ac:dyDescent="0.3">
      <c r="A58" s="1" t="s">
        <v>434</v>
      </c>
      <c r="B58" s="1" t="s">
        <v>1386</v>
      </c>
      <c r="C58" s="1" t="s">
        <v>1303</v>
      </c>
      <c r="E58" s="1" t="s">
        <v>10</v>
      </c>
      <c r="F58" s="1" t="s">
        <v>1606</v>
      </c>
    </row>
    <row r="59" spans="1:6" x14ac:dyDescent="0.3">
      <c r="A59" s="1" t="s">
        <v>715</v>
      </c>
      <c r="B59" s="1" t="s">
        <v>1434</v>
      </c>
      <c r="C59" s="1" t="s">
        <v>1185</v>
      </c>
      <c r="E59" s="1" t="s">
        <v>10</v>
      </c>
      <c r="F59" s="1" t="s">
        <v>1634</v>
      </c>
    </row>
    <row r="60" spans="1:6" x14ac:dyDescent="0.3">
      <c r="A60" s="1" t="s">
        <v>6</v>
      </c>
      <c r="B60" s="1" t="s">
        <v>7</v>
      </c>
      <c r="C60" s="1" t="s">
        <v>8</v>
      </c>
      <c r="D60" s="1" t="s">
        <v>9</v>
      </c>
      <c r="E60" s="1" t="s">
        <v>10</v>
      </c>
      <c r="F60" s="1" t="s">
        <v>11</v>
      </c>
    </row>
    <row r="61" spans="1:6" x14ac:dyDescent="0.3">
      <c r="A61" s="1" t="s">
        <v>754</v>
      </c>
      <c r="B61" s="1" t="s">
        <v>1430</v>
      </c>
      <c r="C61" s="1" t="s">
        <v>706</v>
      </c>
      <c r="E61" s="1" t="s">
        <v>10</v>
      </c>
      <c r="F61" s="1" t="s">
        <v>1632</v>
      </c>
    </row>
    <row r="62" spans="1:6" x14ac:dyDescent="0.3">
      <c r="A62" s="1" t="s">
        <v>581</v>
      </c>
      <c r="B62" s="1" t="s">
        <v>582</v>
      </c>
      <c r="C62" s="1" t="s">
        <v>583</v>
      </c>
      <c r="D62" s="1" t="s">
        <v>584</v>
      </c>
      <c r="E62" s="1" t="s">
        <v>10</v>
      </c>
      <c r="F62" s="1" t="s">
        <v>2806</v>
      </c>
    </row>
    <row r="63" spans="1:6" x14ac:dyDescent="0.3">
      <c r="A63" s="1" t="s">
        <v>620</v>
      </c>
      <c r="B63" s="1" t="s">
        <v>533</v>
      </c>
      <c r="C63" s="1" t="s">
        <v>621</v>
      </c>
      <c r="D63" s="1" t="s">
        <v>622</v>
      </c>
      <c r="E63" s="1" t="s">
        <v>10</v>
      </c>
      <c r="F63" s="1" t="s">
        <v>2807</v>
      </c>
    </row>
    <row r="64" spans="1:6" x14ac:dyDescent="0.3">
      <c r="A64" s="1" t="s">
        <v>1424</v>
      </c>
      <c r="B64" s="1" t="s">
        <v>1425</v>
      </c>
      <c r="C64" s="1" t="s">
        <v>1413</v>
      </c>
      <c r="E64" s="1" t="s">
        <v>10</v>
      </c>
      <c r="F64" s="1" t="s">
        <v>1628</v>
      </c>
    </row>
    <row r="65" spans="1:6" x14ac:dyDescent="0.3">
      <c r="A65" s="1" t="s">
        <v>1411</v>
      </c>
      <c r="B65" s="1" t="s">
        <v>1412</v>
      </c>
      <c r="C65" s="1" t="s">
        <v>1413</v>
      </c>
      <c r="E65" s="1" t="s">
        <v>10</v>
      </c>
      <c r="F65" s="1" t="s">
        <v>1622</v>
      </c>
    </row>
    <row r="66" spans="1:6" x14ac:dyDescent="0.3">
      <c r="A66" s="1" t="s">
        <v>731</v>
      </c>
      <c r="B66" s="1" t="s">
        <v>732</v>
      </c>
      <c r="C66" s="1" t="s">
        <v>733</v>
      </c>
      <c r="D66" s="1" t="s">
        <v>734</v>
      </c>
      <c r="E66" s="1" t="s">
        <v>10</v>
      </c>
      <c r="F66" s="1" t="s">
        <v>1974</v>
      </c>
    </row>
    <row r="67" spans="1:6" ht="39" customHeight="1" x14ac:dyDescent="0.3">
      <c r="A67" s="1" t="s">
        <v>603</v>
      </c>
      <c r="B67" s="1" t="s">
        <v>1470</v>
      </c>
      <c r="C67" s="1" t="s">
        <v>1471</v>
      </c>
      <c r="E67" s="1" t="s">
        <v>10</v>
      </c>
      <c r="F67" s="1" t="s">
        <v>1655</v>
      </c>
    </row>
    <row r="68" spans="1:6" x14ac:dyDescent="0.3">
      <c r="A68" s="1" t="s">
        <v>1348</v>
      </c>
      <c r="B68" s="1" t="s">
        <v>1349</v>
      </c>
      <c r="E68" s="1" t="s">
        <v>10</v>
      </c>
      <c r="F68" s="1" t="s">
        <v>1583</v>
      </c>
    </row>
    <row r="69" spans="1:6" x14ac:dyDescent="0.3">
      <c r="A69" s="1" t="s">
        <v>288</v>
      </c>
      <c r="B69" s="1" t="s">
        <v>1355</v>
      </c>
      <c r="C69" s="1" t="s">
        <v>1356</v>
      </c>
      <c r="E69" s="1" t="s">
        <v>10</v>
      </c>
      <c r="F69" s="1" t="s">
        <v>1588</v>
      </c>
    </row>
    <row r="70" spans="1:6" x14ac:dyDescent="0.3">
      <c r="A70" s="1" t="s">
        <v>539</v>
      </c>
      <c r="B70" s="1" t="s">
        <v>1469</v>
      </c>
      <c r="C70" s="1" t="s">
        <v>1237</v>
      </c>
      <c r="E70" s="1" t="s">
        <v>10</v>
      </c>
      <c r="F70" s="1" t="s">
        <v>1654</v>
      </c>
    </row>
    <row r="71" spans="1:6" x14ac:dyDescent="0.3">
      <c r="A71" s="1" t="s">
        <v>1335</v>
      </c>
      <c r="B71" s="1" t="s">
        <v>1336</v>
      </c>
      <c r="C71" s="1" t="s">
        <v>1337</v>
      </c>
      <c r="E71" s="1" t="s">
        <v>10</v>
      </c>
      <c r="F71" s="1" t="s">
        <v>1577</v>
      </c>
    </row>
    <row r="72" spans="1:6" x14ac:dyDescent="0.3">
      <c r="A72" s="1" t="s">
        <v>371</v>
      </c>
      <c r="B72" s="1" t="s">
        <v>372</v>
      </c>
      <c r="C72" s="1" t="s">
        <v>373</v>
      </c>
      <c r="D72" s="1" t="s">
        <v>374</v>
      </c>
      <c r="E72" s="1" t="s">
        <v>10</v>
      </c>
    </row>
    <row r="73" spans="1:6" x14ac:dyDescent="0.3">
      <c r="A73" s="1" t="s">
        <v>796</v>
      </c>
      <c r="B73" s="1" t="s">
        <v>797</v>
      </c>
      <c r="C73" s="1" t="s">
        <v>689</v>
      </c>
      <c r="D73" s="1" t="s">
        <v>690</v>
      </c>
      <c r="E73" s="1" t="s">
        <v>10</v>
      </c>
    </row>
    <row r="74" spans="1:6" x14ac:dyDescent="0.3">
      <c r="A74" s="1" t="s">
        <v>318</v>
      </c>
      <c r="B74" s="1" t="s">
        <v>320</v>
      </c>
      <c r="C74" s="1" t="s">
        <v>321</v>
      </c>
      <c r="D74" s="1" t="s">
        <v>322</v>
      </c>
      <c r="E74" s="1" t="s">
        <v>10</v>
      </c>
      <c r="F74" s="1" t="s">
        <v>1584</v>
      </c>
    </row>
    <row r="75" spans="1:6" x14ac:dyDescent="0.3">
      <c r="A75" s="1" t="s">
        <v>806</v>
      </c>
      <c r="B75" s="1" t="s">
        <v>808</v>
      </c>
      <c r="C75" s="1" t="s">
        <v>248</v>
      </c>
      <c r="D75" s="1" t="s">
        <v>786</v>
      </c>
      <c r="E75" s="1" t="s">
        <v>10</v>
      </c>
      <c r="F75" s="1" t="s">
        <v>2808</v>
      </c>
    </row>
    <row r="76" spans="1:6" x14ac:dyDescent="0.3">
      <c r="A76" s="1" t="s">
        <v>287</v>
      </c>
      <c r="B76" s="1" t="s">
        <v>289</v>
      </c>
      <c r="C76" s="1" t="s">
        <v>290</v>
      </c>
      <c r="D76" s="1" t="s">
        <v>291</v>
      </c>
      <c r="E76" s="1" t="s">
        <v>10</v>
      </c>
      <c r="F76" s="1" t="s">
        <v>1588</v>
      </c>
    </row>
    <row r="77" spans="1:6" x14ac:dyDescent="0.3">
      <c r="A77" s="1" t="s">
        <v>570</v>
      </c>
      <c r="B77" s="1" t="s">
        <v>571</v>
      </c>
      <c r="C77" s="1" t="s">
        <v>242</v>
      </c>
      <c r="D77" s="1" t="s">
        <v>457</v>
      </c>
      <c r="E77" s="1" t="s">
        <v>10</v>
      </c>
      <c r="F77" s="1" t="s">
        <v>2809</v>
      </c>
    </row>
    <row r="78" spans="1:6" x14ac:dyDescent="0.3">
      <c r="A78" s="1" t="s">
        <v>697</v>
      </c>
      <c r="B78" s="1" t="s">
        <v>698</v>
      </c>
      <c r="C78" s="1" t="s">
        <v>699</v>
      </c>
      <c r="D78" s="1" t="s">
        <v>700</v>
      </c>
      <c r="E78" s="1" t="s">
        <v>10</v>
      </c>
    </row>
    <row r="79" spans="1:6" x14ac:dyDescent="0.3">
      <c r="A79" s="1" t="s">
        <v>593</v>
      </c>
      <c r="B79" s="1" t="s">
        <v>594</v>
      </c>
      <c r="C79" s="1" t="s">
        <v>242</v>
      </c>
      <c r="D79" s="1" t="s">
        <v>457</v>
      </c>
      <c r="E79" s="1" t="s">
        <v>10</v>
      </c>
      <c r="F79" s="1" t="s">
        <v>2810</v>
      </c>
    </row>
    <row r="80" spans="1:6" x14ac:dyDescent="0.3">
      <c r="A80" s="1" t="s">
        <v>314</v>
      </c>
      <c r="B80" s="1" t="s">
        <v>315</v>
      </c>
      <c r="C80" s="1" t="s">
        <v>316</v>
      </c>
      <c r="D80" s="1" t="s">
        <v>317</v>
      </c>
      <c r="E80" s="1" t="s">
        <v>10</v>
      </c>
      <c r="F80" s="1" t="s">
        <v>2811</v>
      </c>
    </row>
    <row r="81" spans="1:6" x14ac:dyDescent="0.3">
      <c r="A81" s="1" t="s">
        <v>813</v>
      </c>
      <c r="B81" s="1" t="s">
        <v>814</v>
      </c>
      <c r="C81" s="1" t="s">
        <v>815</v>
      </c>
      <c r="D81" s="1" t="s">
        <v>816</v>
      </c>
      <c r="E81" s="1" t="s">
        <v>10</v>
      </c>
      <c r="F81" s="1" t="s">
        <v>2812</v>
      </c>
    </row>
    <row r="82" spans="1:6" x14ac:dyDescent="0.3">
      <c r="A82" s="1" t="s">
        <v>364</v>
      </c>
      <c r="B82" s="1" t="s">
        <v>365</v>
      </c>
      <c r="C82" s="1" t="s">
        <v>366</v>
      </c>
      <c r="D82" s="1" t="s">
        <v>367</v>
      </c>
      <c r="E82" s="1" t="s">
        <v>10</v>
      </c>
      <c r="F82" s="1" t="s">
        <v>2813</v>
      </c>
    </row>
    <row r="83" spans="1:6" x14ac:dyDescent="0.3">
      <c r="A83" s="1" t="s">
        <v>714</v>
      </c>
      <c r="B83" s="1" t="s">
        <v>716</v>
      </c>
      <c r="C83" s="1" t="s">
        <v>717</v>
      </c>
      <c r="D83" s="1" t="s">
        <v>718</v>
      </c>
      <c r="E83" s="1" t="s">
        <v>10</v>
      </c>
      <c r="F83" s="1" t="s">
        <v>1634</v>
      </c>
    </row>
    <row r="84" spans="1:6" x14ac:dyDescent="0.3">
      <c r="A84" s="1" t="s">
        <v>376</v>
      </c>
      <c r="B84" s="1" t="s">
        <v>377</v>
      </c>
      <c r="C84" s="1" t="s">
        <v>378</v>
      </c>
      <c r="D84" s="1" t="s">
        <v>379</v>
      </c>
      <c r="E84" s="1" t="s">
        <v>10</v>
      </c>
      <c r="F84" s="1" t="s">
        <v>2814</v>
      </c>
    </row>
    <row r="85" spans="1:6" x14ac:dyDescent="0.3">
      <c r="A85" s="1" t="s">
        <v>330</v>
      </c>
      <c r="B85" s="1" t="s">
        <v>332</v>
      </c>
      <c r="C85" s="1" t="s">
        <v>333</v>
      </c>
      <c r="D85" s="1" t="s">
        <v>334</v>
      </c>
      <c r="E85" s="1" t="s">
        <v>10</v>
      </c>
      <c r="F85" s="1" t="s">
        <v>1596</v>
      </c>
    </row>
    <row r="86" spans="1:6" x14ac:dyDescent="0.3">
      <c r="A86" s="1" t="s">
        <v>523</v>
      </c>
      <c r="B86" s="1" t="s">
        <v>525</v>
      </c>
      <c r="C86" s="1" t="s">
        <v>526</v>
      </c>
      <c r="D86" s="1" t="s">
        <v>527</v>
      </c>
      <c r="E86" s="1" t="s">
        <v>10</v>
      </c>
      <c r="F86" s="1" t="s">
        <v>2815</v>
      </c>
    </row>
    <row r="87" spans="1:6" x14ac:dyDescent="0.3">
      <c r="A87" s="1" t="s">
        <v>719</v>
      </c>
      <c r="B87" s="1" t="s">
        <v>721</v>
      </c>
      <c r="C87" s="1" t="s">
        <v>706</v>
      </c>
      <c r="D87" s="1" t="s">
        <v>707</v>
      </c>
      <c r="E87" s="1" t="s">
        <v>10</v>
      </c>
      <c r="F87" s="1" t="s">
        <v>1637</v>
      </c>
    </row>
    <row r="88" spans="1:6" x14ac:dyDescent="0.3">
      <c r="A88" s="1" t="s">
        <v>595</v>
      </c>
      <c r="B88" s="1" t="s">
        <v>597</v>
      </c>
      <c r="C88" s="1" t="s">
        <v>445</v>
      </c>
      <c r="D88" s="1" t="s">
        <v>446</v>
      </c>
      <c r="E88" s="1" t="s">
        <v>10</v>
      </c>
      <c r="F88" s="1" t="s">
        <v>1653</v>
      </c>
    </row>
    <row r="89" spans="1:6" x14ac:dyDescent="0.3">
      <c r="A89" s="1" t="s">
        <v>848</v>
      </c>
      <c r="B89" s="1" t="s">
        <v>849</v>
      </c>
      <c r="C89" s="1" t="s">
        <v>850</v>
      </c>
      <c r="D89" s="1" t="s">
        <v>851</v>
      </c>
      <c r="E89" s="1" t="s">
        <v>10</v>
      </c>
      <c r="F89" s="1" t="s">
        <v>2816</v>
      </c>
    </row>
    <row r="90" spans="1:6" x14ac:dyDescent="0.3">
      <c r="A90" s="1" t="s">
        <v>292</v>
      </c>
      <c r="B90" s="1" t="s">
        <v>294</v>
      </c>
      <c r="C90" s="1" t="s">
        <v>295</v>
      </c>
      <c r="D90" s="1" t="s">
        <v>296</v>
      </c>
      <c r="E90" s="1" t="s">
        <v>10</v>
      </c>
      <c r="F90" s="1" t="s">
        <v>2817</v>
      </c>
    </row>
    <row r="91" spans="1:6" x14ac:dyDescent="0.3">
      <c r="A91" s="1" t="s">
        <v>261</v>
      </c>
      <c r="B91" s="1" t="s">
        <v>263</v>
      </c>
      <c r="C91" s="1" t="s">
        <v>264</v>
      </c>
      <c r="D91" s="1" t="s">
        <v>265</v>
      </c>
      <c r="E91" s="1" t="s">
        <v>10</v>
      </c>
      <c r="F91" s="1" t="s">
        <v>1580</v>
      </c>
    </row>
    <row r="92" spans="1:6" x14ac:dyDescent="0.3">
      <c r="A92" s="1" t="s">
        <v>776</v>
      </c>
      <c r="B92" s="1" t="s">
        <v>778</v>
      </c>
      <c r="C92" s="1" t="s">
        <v>717</v>
      </c>
      <c r="D92" s="1" t="s">
        <v>718</v>
      </c>
      <c r="E92" s="1" t="s">
        <v>10</v>
      </c>
      <c r="F92" s="1" t="s">
        <v>1528</v>
      </c>
    </row>
    <row r="93" spans="1:6" x14ac:dyDescent="0.3">
      <c r="A93" s="1" t="s">
        <v>671</v>
      </c>
      <c r="B93" s="1" t="s">
        <v>672</v>
      </c>
      <c r="C93" s="1" t="s">
        <v>673</v>
      </c>
      <c r="D93" s="1" t="s">
        <v>674</v>
      </c>
      <c r="E93" s="1" t="s">
        <v>10</v>
      </c>
      <c r="F93" s="1" t="s">
        <v>2818</v>
      </c>
    </row>
    <row r="94" spans="1:6" x14ac:dyDescent="0.3">
      <c r="A94" s="1" t="s">
        <v>1016</v>
      </c>
      <c r="B94" s="1" t="s">
        <v>1017</v>
      </c>
      <c r="C94" s="1" t="s">
        <v>242</v>
      </c>
      <c r="D94" s="1" t="s">
        <v>457</v>
      </c>
      <c r="E94" s="1" t="s">
        <v>10</v>
      </c>
      <c r="F94" s="1" t="s">
        <v>2819</v>
      </c>
    </row>
    <row r="95" spans="1:6" x14ac:dyDescent="0.3">
      <c r="A95" s="1" t="s">
        <v>750</v>
      </c>
      <c r="B95" s="1" t="s">
        <v>752</v>
      </c>
      <c r="C95" s="1" t="s">
        <v>717</v>
      </c>
      <c r="D95" s="1" t="s">
        <v>718</v>
      </c>
      <c r="E95" s="1" t="s">
        <v>10</v>
      </c>
      <c r="F95" s="1" t="s">
        <v>1532</v>
      </c>
    </row>
    <row r="96" spans="1:6" x14ac:dyDescent="0.3">
      <c r="A96" s="1" t="s">
        <v>693</v>
      </c>
      <c r="B96" s="1" t="s">
        <v>694</v>
      </c>
      <c r="C96" s="1" t="s">
        <v>695</v>
      </c>
      <c r="D96" s="1" t="s">
        <v>696</v>
      </c>
      <c r="E96" s="1" t="s">
        <v>10</v>
      </c>
    </row>
    <row r="97" spans="1:6" x14ac:dyDescent="0.3">
      <c r="A97" s="1" t="s">
        <v>1820</v>
      </c>
      <c r="B97" s="1" t="s">
        <v>1821</v>
      </c>
      <c r="C97" s="1" t="s">
        <v>1822</v>
      </c>
      <c r="D97" s="1" t="s">
        <v>1800</v>
      </c>
      <c r="E97" s="1" t="s">
        <v>10</v>
      </c>
      <c r="F97" s="1" t="s">
        <v>1823</v>
      </c>
    </row>
    <row r="98" spans="1:6" x14ac:dyDescent="0.3">
      <c r="A98" s="1" t="s">
        <v>779</v>
      </c>
      <c r="B98" s="1" t="s">
        <v>781</v>
      </c>
      <c r="C98" s="1" t="s">
        <v>733</v>
      </c>
      <c r="D98" s="1" t="s">
        <v>734</v>
      </c>
      <c r="E98" s="1" t="s">
        <v>44</v>
      </c>
    </row>
    <row r="99" spans="1:6" x14ac:dyDescent="0.3">
      <c r="A99" s="1" t="s">
        <v>59</v>
      </c>
      <c r="B99" s="1" t="s">
        <v>60</v>
      </c>
      <c r="C99" s="1" t="s">
        <v>61</v>
      </c>
      <c r="D99" s="1" t="s">
        <v>62</v>
      </c>
      <c r="E99" s="1" t="s">
        <v>44</v>
      </c>
      <c r="F99" s="1" t="s">
        <v>63</v>
      </c>
    </row>
    <row r="100" spans="1:6" x14ac:dyDescent="0.3">
      <c r="A100" s="1" t="s">
        <v>275</v>
      </c>
      <c r="B100" s="1" t="s">
        <v>277</v>
      </c>
      <c r="C100" s="1" t="s">
        <v>278</v>
      </c>
      <c r="D100" s="1" t="s">
        <v>279</v>
      </c>
      <c r="E100" s="1" t="s">
        <v>44</v>
      </c>
    </row>
    <row r="101" spans="1:6" x14ac:dyDescent="0.3">
      <c r="A101" s="1" t="s">
        <v>1152</v>
      </c>
      <c r="B101" s="1" t="s">
        <v>1153</v>
      </c>
      <c r="E101" s="1" t="s">
        <v>44</v>
      </c>
      <c r="F101" s="1" t="s">
        <v>1488</v>
      </c>
    </row>
    <row r="102" spans="1:6" x14ac:dyDescent="0.3">
      <c r="A102" s="1" t="s">
        <v>735</v>
      </c>
      <c r="B102" s="1" t="s">
        <v>737</v>
      </c>
      <c r="C102" s="1" t="s">
        <v>733</v>
      </c>
      <c r="D102" s="1" t="s">
        <v>734</v>
      </c>
      <c r="E102" s="1" t="s">
        <v>44</v>
      </c>
    </row>
    <row r="103" spans="1:6" x14ac:dyDescent="0.3">
      <c r="A103" s="1" t="s">
        <v>494</v>
      </c>
      <c r="B103" s="1" t="s">
        <v>495</v>
      </c>
      <c r="C103" s="1" t="s">
        <v>240</v>
      </c>
      <c r="D103" s="1" t="s">
        <v>496</v>
      </c>
      <c r="E103" s="1" t="s">
        <v>44</v>
      </c>
      <c r="F103" s="1" t="s">
        <v>2734</v>
      </c>
    </row>
    <row r="104" spans="1:6" x14ac:dyDescent="0.3">
      <c r="A104" s="1" t="s">
        <v>578</v>
      </c>
      <c r="B104" s="1" t="s">
        <v>580</v>
      </c>
      <c r="C104" s="1" t="s">
        <v>387</v>
      </c>
      <c r="D104" s="1" t="s">
        <v>388</v>
      </c>
      <c r="E104" s="1" t="s">
        <v>44</v>
      </c>
    </row>
    <row r="105" spans="1:6" x14ac:dyDescent="0.3">
      <c r="A105" s="1" t="s">
        <v>1663</v>
      </c>
      <c r="B105" s="1" t="s">
        <v>675</v>
      </c>
      <c r="C105" s="1" t="s">
        <v>676</v>
      </c>
      <c r="D105" s="1" t="s">
        <v>677</v>
      </c>
      <c r="E105" s="1" t="s">
        <v>44</v>
      </c>
      <c r="F105" s="1" t="s">
        <v>2741</v>
      </c>
    </row>
    <row r="106" spans="1:6" x14ac:dyDescent="0.3">
      <c r="A106" s="1" t="s">
        <v>1218</v>
      </c>
      <c r="B106" s="1" t="s">
        <v>1219</v>
      </c>
      <c r="C106" s="1" t="s">
        <v>1220</v>
      </c>
      <c r="E106" s="1" t="s">
        <v>44</v>
      </c>
      <c r="F106" s="1" t="s">
        <v>1517</v>
      </c>
    </row>
    <row r="107" spans="1:6" x14ac:dyDescent="0.3">
      <c r="A107" s="1" t="s">
        <v>770</v>
      </c>
      <c r="B107" s="1" t="s">
        <v>772</v>
      </c>
      <c r="C107" s="1" t="s">
        <v>759</v>
      </c>
      <c r="D107" s="1" t="s">
        <v>760</v>
      </c>
      <c r="E107" s="1" t="s">
        <v>44</v>
      </c>
      <c r="F107" s="1" t="s">
        <v>1564</v>
      </c>
    </row>
    <row r="108" spans="1:6" x14ac:dyDescent="0.3">
      <c r="A108" s="1" t="s">
        <v>449</v>
      </c>
      <c r="B108" s="1" t="s">
        <v>451</v>
      </c>
      <c r="C108" s="1" t="s">
        <v>254</v>
      </c>
      <c r="D108" s="1" t="s">
        <v>255</v>
      </c>
      <c r="E108" s="1" t="s">
        <v>44</v>
      </c>
    </row>
    <row r="109" spans="1:6" x14ac:dyDescent="0.3">
      <c r="A109" s="1" t="s">
        <v>787</v>
      </c>
      <c r="B109" s="1" t="s">
        <v>788</v>
      </c>
      <c r="C109" s="1" t="s">
        <v>665</v>
      </c>
      <c r="D109" s="1" t="s">
        <v>666</v>
      </c>
      <c r="E109" s="1" t="s">
        <v>44</v>
      </c>
      <c r="F109" s="1" t="s">
        <v>2742</v>
      </c>
    </row>
    <row r="110" spans="1:6" x14ac:dyDescent="0.3">
      <c r="A110" s="1" t="s">
        <v>354</v>
      </c>
      <c r="B110" s="1" t="s">
        <v>355</v>
      </c>
      <c r="C110" s="1" t="s">
        <v>356</v>
      </c>
      <c r="D110" s="1" t="s">
        <v>357</v>
      </c>
      <c r="E110" s="1" t="s">
        <v>44</v>
      </c>
      <c r="F110" s="1" t="s">
        <v>2743</v>
      </c>
    </row>
    <row r="111" spans="1:6" x14ac:dyDescent="0.3">
      <c r="A111" s="1" t="s">
        <v>470</v>
      </c>
      <c r="B111" s="1" t="s">
        <v>471</v>
      </c>
      <c r="C111" s="1" t="s">
        <v>242</v>
      </c>
      <c r="D111" s="1" t="s">
        <v>457</v>
      </c>
      <c r="E111" s="1" t="s">
        <v>44</v>
      </c>
      <c r="F111" s="1" t="s">
        <v>2744</v>
      </c>
    </row>
    <row r="112" spans="1:6" x14ac:dyDescent="0.3">
      <c r="A112" s="1" t="s">
        <v>780</v>
      </c>
      <c r="B112" s="1" t="s">
        <v>1232</v>
      </c>
      <c r="C112" s="1" t="s">
        <v>733</v>
      </c>
      <c r="E112" s="1" t="s">
        <v>44</v>
      </c>
      <c r="F112" s="1" t="s">
        <v>1523</v>
      </c>
    </row>
    <row r="113" spans="1:6" x14ac:dyDescent="0.3">
      <c r="A113" s="1" t="s">
        <v>1209</v>
      </c>
      <c r="B113" s="1" t="s">
        <v>1210</v>
      </c>
      <c r="C113" s="1" t="s">
        <v>1180</v>
      </c>
      <c r="E113" s="1" t="s">
        <v>44</v>
      </c>
      <c r="F113" s="1" t="s">
        <v>1512</v>
      </c>
    </row>
    <row r="114" spans="1:6" x14ac:dyDescent="0.3">
      <c r="A114" s="1" t="s">
        <v>1296</v>
      </c>
      <c r="B114" s="1" t="s">
        <v>1297</v>
      </c>
      <c r="C114" s="1" t="s">
        <v>1188</v>
      </c>
      <c r="E114" s="1" t="s">
        <v>44</v>
      </c>
      <c r="F114" s="1" t="s">
        <v>1559</v>
      </c>
    </row>
    <row r="115" spans="1:6" x14ac:dyDescent="0.3">
      <c r="A115" s="1" t="s">
        <v>1030</v>
      </c>
      <c r="B115" s="1" t="s">
        <v>1031</v>
      </c>
      <c r="C115" s="1" t="s">
        <v>1032</v>
      </c>
      <c r="D115" s="1" t="s">
        <v>1033</v>
      </c>
      <c r="E115" s="1" t="s">
        <v>44</v>
      </c>
      <c r="F115" s="1" t="s">
        <v>2753</v>
      </c>
    </row>
    <row r="116" spans="1:6" x14ac:dyDescent="0.3">
      <c r="A116" s="1" t="s">
        <v>663</v>
      </c>
      <c r="B116" s="1" t="s">
        <v>664</v>
      </c>
      <c r="C116" s="1" t="s">
        <v>665</v>
      </c>
      <c r="D116" s="1" t="s">
        <v>666</v>
      </c>
      <c r="E116" s="1" t="s">
        <v>44</v>
      </c>
      <c r="F116" s="1" t="s">
        <v>2754</v>
      </c>
    </row>
    <row r="117" spans="1:6" x14ac:dyDescent="0.3">
      <c r="A117" s="1" t="s">
        <v>335</v>
      </c>
      <c r="B117" s="1" t="s">
        <v>336</v>
      </c>
      <c r="C117" s="1" t="s">
        <v>337</v>
      </c>
      <c r="D117" s="1" t="s">
        <v>338</v>
      </c>
      <c r="E117" s="1" t="s">
        <v>44</v>
      </c>
      <c r="F117" s="1" t="s">
        <v>2755</v>
      </c>
    </row>
    <row r="118" spans="1:6" x14ac:dyDescent="0.3">
      <c r="A118" s="1" t="s">
        <v>430</v>
      </c>
      <c r="B118" s="1" t="s">
        <v>432</v>
      </c>
      <c r="C118" s="1" t="s">
        <v>254</v>
      </c>
      <c r="D118" s="1" t="s">
        <v>255</v>
      </c>
      <c r="E118" s="1" t="s">
        <v>44</v>
      </c>
    </row>
    <row r="119" spans="1:6" x14ac:dyDescent="0.3">
      <c r="A119" s="1" t="s">
        <v>442</v>
      </c>
      <c r="B119" s="1" t="s">
        <v>444</v>
      </c>
      <c r="C119" s="1" t="s">
        <v>445</v>
      </c>
      <c r="D119" s="1" t="s">
        <v>446</v>
      </c>
      <c r="E119" s="1" t="s">
        <v>44</v>
      </c>
      <c r="F119" s="1" t="s">
        <v>1645</v>
      </c>
    </row>
    <row r="120" spans="1:6" x14ac:dyDescent="0.3">
      <c r="A120" s="1" t="s">
        <v>193</v>
      </c>
      <c r="B120" s="1" t="s">
        <v>41</v>
      </c>
      <c r="C120" s="1" t="s">
        <v>42</v>
      </c>
      <c r="D120" s="1" t="s">
        <v>43</v>
      </c>
      <c r="E120" s="1" t="s">
        <v>44</v>
      </c>
      <c r="F120" s="1" t="s">
        <v>192</v>
      </c>
    </row>
    <row r="121" spans="1:6" x14ac:dyDescent="0.3">
      <c r="A121" s="1" t="s">
        <v>418</v>
      </c>
      <c r="B121" s="1" t="s">
        <v>1192</v>
      </c>
      <c r="C121" s="1" t="s">
        <v>1193</v>
      </c>
      <c r="E121" s="1" t="s">
        <v>44</v>
      </c>
      <c r="F121" s="1" t="s">
        <v>1504</v>
      </c>
    </row>
    <row r="122" spans="1:6" x14ac:dyDescent="0.3">
      <c r="A122" s="1" t="s">
        <v>736</v>
      </c>
      <c r="B122" s="1" t="s">
        <v>1250</v>
      </c>
      <c r="C122" s="1" t="s">
        <v>733</v>
      </c>
      <c r="E122" s="1" t="s">
        <v>44</v>
      </c>
      <c r="F122" s="1" t="s">
        <v>1531</v>
      </c>
    </row>
    <row r="123" spans="1:6" x14ac:dyDescent="0.3">
      <c r="A123" s="1" t="s">
        <v>1204</v>
      </c>
      <c r="B123" s="1" t="s">
        <v>1205</v>
      </c>
      <c r="C123" s="1" t="s">
        <v>1180</v>
      </c>
      <c r="E123" s="1" t="s">
        <v>44</v>
      </c>
      <c r="F123" s="1" t="s">
        <v>1510</v>
      </c>
    </row>
    <row r="124" spans="1:6" x14ac:dyDescent="0.3">
      <c r="A124" s="1" t="s">
        <v>1168</v>
      </c>
      <c r="B124" s="1" t="s">
        <v>1169</v>
      </c>
      <c r="E124" s="1" t="s">
        <v>44</v>
      </c>
      <c r="F124" s="1" t="s">
        <v>1495</v>
      </c>
    </row>
    <row r="125" spans="1:6" x14ac:dyDescent="0.3">
      <c r="A125" s="1" t="s">
        <v>562</v>
      </c>
      <c r="B125" s="1" t="s">
        <v>1314</v>
      </c>
      <c r="C125" s="1" t="s">
        <v>1315</v>
      </c>
      <c r="E125" s="1" t="s">
        <v>44</v>
      </c>
      <c r="F125" s="1" t="s">
        <v>1568</v>
      </c>
    </row>
    <row r="126" spans="1:6" x14ac:dyDescent="0.3">
      <c r="A126" s="1" t="s">
        <v>722</v>
      </c>
      <c r="B126" s="1" t="s">
        <v>723</v>
      </c>
      <c r="C126" s="1" t="s">
        <v>657</v>
      </c>
      <c r="D126" s="1" t="s">
        <v>658</v>
      </c>
      <c r="E126" s="1" t="s">
        <v>44</v>
      </c>
      <c r="F126" s="1" t="s">
        <v>2764</v>
      </c>
    </row>
    <row r="127" spans="1:6" x14ac:dyDescent="0.3">
      <c r="A127" s="1" t="s">
        <v>713</v>
      </c>
      <c r="B127" s="1" t="s">
        <v>60</v>
      </c>
      <c r="C127" s="1" t="s">
        <v>676</v>
      </c>
      <c r="D127" s="1" t="s">
        <v>677</v>
      </c>
      <c r="E127" s="1" t="s">
        <v>44</v>
      </c>
    </row>
    <row r="128" spans="1:6" x14ac:dyDescent="0.3">
      <c r="A128" s="1" t="s">
        <v>417</v>
      </c>
      <c r="B128" s="1" t="s">
        <v>419</v>
      </c>
      <c r="C128" s="1" t="s">
        <v>420</v>
      </c>
      <c r="D128" s="1" t="s">
        <v>421</v>
      </c>
      <c r="E128" s="1" t="s">
        <v>44</v>
      </c>
      <c r="F128" s="1" t="s">
        <v>1504</v>
      </c>
    </row>
    <row r="129" spans="1:6" x14ac:dyDescent="0.3">
      <c r="A129" s="1" t="s">
        <v>551</v>
      </c>
      <c r="B129" s="1" t="s">
        <v>553</v>
      </c>
      <c r="C129" s="1" t="s">
        <v>554</v>
      </c>
      <c r="D129" s="1" t="s">
        <v>555</v>
      </c>
      <c r="E129" s="1" t="s">
        <v>44</v>
      </c>
    </row>
    <row r="130" spans="1:6" x14ac:dyDescent="0.3">
      <c r="A130" s="1" t="s">
        <v>561</v>
      </c>
      <c r="B130" s="1" t="s">
        <v>563</v>
      </c>
      <c r="C130" s="1" t="s">
        <v>564</v>
      </c>
      <c r="D130" s="1" t="s">
        <v>565</v>
      </c>
      <c r="E130" s="1" t="s">
        <v>44</v>
      </c>
    </row>
    <row r="131" spans="1:6" x14ac:dyDescent="0.3">
      <c r="A131" s="1" t="s">
        <v>588</v>
      </c>
      <c r="B131" s="1" t="s">
        <v>590</v>
      </c>
      <c r="C131" s="1" t="s">
        <v>591</v>
      </c>
      <c r="D131" s="1" t="s">
        <v>592</v>
      </c>
      <c r="E131" s="1" t="s">
        <v>44</v>
      </c>
    </row>
    <row r="132" spans="1:6" x14ac:dyDescent="0.3">
      <c r="A132" s="1" t="s">
        <v>609</v>
      </c>
      <c r="B132" s="1" t="s">
        <v>611</v>
      </c>
      <c r="C132" s="1" t="s">
        <v>612</v>
      </c>
      <c r="D132" s="1" t="s">
        <v>613</v>
      </c>
      <c r="E132" s="1" t="s">
        <v>44</v>
      </c>
    </row>
    <row r="133" spans="1:6" x14ac:dyDescent="0.3">
      <c r="A133" s="1" t="s">
        <v>447</v>
      </c>
      <c r="B133" s="1" t="s">
        <v>448</v>
      </c>
      <c r="C133" s="1" t="s">
        <v>299</v>
      </c>
      <c r="D133" s="1" t="s">
        <v>300</v>
      </c>
      <c r="E133" s="1" t="s">
        <v>44</v>
      </c>
    </row>
    <row r="134" spans="1:6" x14ac:dyDescent="0.3">
      <c r="A134" s="1" t="s">
        <v>368</v>
      </c>
      <c r="B134" s="1" t="s">
        <v>369</v>
      </c>
      <c r="C134" s="1" t="s">
        <v>251</v>
      </c>
      <c r="D134" s="1" t="s">
        <v>370</v>
      </c>
      <c r="E134" s="1" t="s">
        <v>44</v>
      </c>
      <c r="F134" s="1" t="s">
        <v>2765</v>
      </c>
    </row>
    <row r="135" spans="1:6" x14ac:dyDescent="0.3">
      <c r="A135" s="1" t="s">
        <v>978</v>
      </c>
      <c r="B135" s="1" t="s">
        <v>979</v>
      </c>
      <c r="C135" s="1" t="s">
        <v>980</v>
      </c>
      <c r="D135" s="1" t="s">
        <v>981</v>
      </c>
      <c r="E135" s="1" t="s">
        <v>44</v>
      </c>
      <c r="F135" s="1" t="s">
        <v>2766</v>
      </c>
    </row>
    <row r="136" spans="1:6" x14ac:dyDescent="0.3">
      <c r="A136" s="1" t="s">
        <v>756</v>
      </c>
      <c r="B136" s="1" t="s">
        <v>758</v>
      </c>
      <c r="C136" s="1" t="s">
        <v>759</v>
      </c>
      <c r="D136" s="1" t="s">
        <v>760</v>
      </c>
      <c r="E136" s="1" t="s">
        <v>44</v>
      </c>
      <c r="F136" s="1" t="s">
        <v>1644</v>
      </c>
    </row>
    <row r="137" spans="1:6" x14ac:dyDescent="0.3">
      <c r="A137" s="1" t="s">
        <v>339</v>
      </c>
      <c r="B137" s="1" t="s">
        <v>340</v>
      </c>
      <c r="C137" s="1" t="s">
        <v>341</v>
      </c>
      <c r="D137" s="1" t="s">
        <v>342</v>
      </c>
      <c r="E137" s="1" t="s">
        <v>44</v>
      </c>
    </row>
    <row r="138" spans="1:6" x14ac:dyDescent="0.3">
      <c r="A138" s="1" t="s">
        <v>266</v>
      </c>
      <c r="B138" s="1" t="s">
        <v>268</v>
      </c>
      <c r="C138" s="1" t="s">
        <v>269</v>
      </c>
      <c r="D138" s="1" t="s">
        <v>270</v>
      </c>
      <c r="E138" s="1" t="s">
        <v>44</v>
      </c>
    </row>
    <row r="139" spans="1:6" x14ac:dyDescent="0.3">
      <c r="A139" s="1" t="s">
        <v>326</v>
      </c>
      <c r="B139" s="1" t="s">
        <v>327</v>
      </c>
      <c r="C139" s="1" t="s">
        <v>328</v>
      </c>
      <c r="D139" s="1" t="s">
        <v>329</v>
      </c>
      <c r="E139" s="1" t="s">
        <v>44</v>
      </c>
      <c r="F139" s="1" t="s">
        <v>2767</v>
      </c>
    </row>
    <row r="140" spans="1:6" x14ac:dyDescent="0.3">
      <c r="A140" s="1" t="s">
        <v>536</v>
      </c>
      <c r="B140" s="1" t="s">
        <v>537</v>
      </c>
      <c r="C140" s="1" t="s">
        <v>438</v>
      </c>
      <c r="D140" s="1" t="s">
        <v>439</v>
      </c>
      <c r="E140" s="1" t="s">
        <v>44</v>
      </c>
      <c r="F140" s="1" t="s">
        <v>2768</v>
      </c>
    </row>
    <row r="141" spans="1:6" x14ac:dyDescent="0.3">
      <c r="A141" s="1" t="s">
        <v>644</v>
      </c>
      <c r="B141" s="1" t="s">
        <v>645</v>
      </c>
      <c r="C141" s="1" t="s">
        <v>646</v>
      </c>
      <c r="D141" s="1" t="s">
        <v>647</v>
      </c>
      <c r="E141" s="1" t="s">
        <v>44</v>
      </c>
      <c r="F141" s="1" t="s">
        <v>2769</v>
      </c>
    </row>
    <row r="142" spans="1:6" x14ac:dyDescent="0.3">
      <c r="A142" s="1" t="s">
        <v>396</v>
      </c>
      <c r="B142" s="1" t="s">
        <v>398</v>
      </c>
      <c r="C142" s="1" t="s">
        <v>399</v>
      </c>
      <c r="D142" s="1" t="s">
        <v>400</v>
      </c>
      <c r="E142" s="1" t="s">
        <v>44</v>
      </c>
    </row>
    <row r="143" spans="1:6" x14ac:dyDescent="0.3">
      <c r="A143" s="1" t="s">
        <v>771</v>
      </c>
      <c r="B143" s="1" t="s">
        <v>1307</v>
      </c>
      <c r="C143" s="1" t="s">
        <v>1282</v>
      </c>
      <c r="E143" s="1" t="s">
        <v>44</v>
      </c>
      <c r="F143" s="1" t="s">
        <v>1564</v>
      </c>
    </row>
    <row r="144" spans="1:6" x14ac:dyDescent="0.3">
      <c r="A144" s="1" t="s">
        <v>610</v>
      </c>
      <c r="B144" s="1" t="s">
        <v>1224</v>
      </c>
      <c r="C144" s="1" t="s">
        <v>1225</v>
      </c>
      <c r="E144" s="1" t="s">
        <v>44</v>
      </c>
      <c r="F144" s="1" t="s">
        <v>1519</v>
      </c>
    </row>
    <row r="145" spans="1:6" x14ac:dyDescent="0.3">
      <c r="A145" s="1" t="s">
        <v>1311</v>
      </c>
      <c r="B145" s="1" t="s">
        <v>1312</v>
      </c>
      <c r="C145" s="1" t="s">
        <v>1249</v>
      </c>
      <c r="E145" s="1" t="s">
        <v>44</v>
      </c>
      <c r="F145" s="1" t="s">
        <v>1566</v>
      </c>
    </row>
    <row r="146" spans="1:6" x14ac:dyDescent="0.3">
      <c r="A146" s="1" t="s">
        <v>802</v>
      </c>
      <c r="B146" s="1" t="s">
        <v>803</v>
      </c>
      <c r="C146" s="1" t="s">
        <v>804</v>
      </c>
      <c r="D146" s="1" t="s">
        <v>805</v>
      </c>
      <c r="E146" s="1" t="s">
        <v>44</v>
      </c>
    </row>
    <row r="147" spans="1:6" x14ac:dyDescent="0.3">
      <c r="A147" s="1" t="s">
        <v>709</v>
      </c>
      <c r="B147" s="1" t="s">
        <v>1285</v>
      </c>
      <c r="C147" s="1" t="s">
        <v>1286</v>
      </c>
      <c r="E147" s="1" t="s">
        <v>44</v>
      </c>
      <c r="F147" s="1" t="s">
        <v>1553</v>
      </c>
    </row>
    <row r="148" spans="1:6" x14ac:dyDescent="0.3">
      <c r="A148" s="1" t="s">
        <v>822</v>
      </c>
      <c r="B148" s="1" t="s">
        <v>823</v>
      </c>
      <c r="C148" s="1" t="s">
        <v>724</v>
      </c>
      <c r="D148" s="1" t="s">
        <v>725</v>
      </c>
      <c r="E148" s="1" t="s">
        <v>44</v>
      </c>
      <c r="F148" s="1" t="s">
        <v>2787</v>
      </c>
    </row>
    <row r="149" spans="1:6" x14ac:dyDescent="0.3">
      <c r="A149" s="1" t="s">
        <v>401</v>
      </c>
      <c r="B149" s="1" t="s">
        <v>402</v>
      </c>
      <c r="C149" s="1" t="s">
        <v>347</v>
      </c>
      <c r="D149" s="1" t="s">
        <v>348</v>
      </c>
      <c r="E149" s="1" t="s">
        <v>44</v>
      </c>
      <c r="F149" s="1" t="s">
        <v>2788</v>
      </c>
    </row>
    <row r="150" spans="1:6" x14ac:dyDescent="0.3">
      <c r="A150" s="1" t="s">
        <v>301</v>
      </c>
      <c r="B150" s="1" t="s">
        <v>302</v>
      </c>
      <c r="C150" s="1" t="s">
        <v>303</v>
      </c>
      <c r="D150" s="1" t="s">
        <v>304</v>
      </c>
      <c r="E150" s="1" t="s">
        <v>44</v>
      </c>
      <c r="F150" s="1" t="s">
        <v>2789</v>
      </c>
    </row>
    <row r="151" spans="1:6" x14ac:dyDescent="0.3">
      <c r="A151" s="1" t="s">
        <v>708</v>
      </c>
      <c r="B151" s="1" t="s">
        <v>710</v>
      </c>
      <c r="C151" s="1" t="s">
        <v>711</v>
      </c>
      <c r="D151" s="1" t="s">
        <v>712</v>
      </c>
      <c r="E151" s="1" t="s">
        <v>44</v>
      </c>
    </row>
    <row r="152" spans="1:6" x14ac:dyDescent="0.3">
      <c r="A152" s="1" t="s">
        <v>895</v>
      </c>
      <c r="B152" s="1" t="s">
        <v>897</v>
      </c>
      <c r="C152" s="1" t="s">
        <v>898</v>
      </c>
      <c r="D152" s="1" t="s">
        <v>899</v>
      </c>
      <c r="E152" s="1" t="s">
        <v>44</v>
      </c>
      <c r="F152" s="1" t="s">
        <v>1619</v>
      </c>
    </row>
    <row r="153" spans="1:6" x14ac:dyDescent="0.3">
      <c r="A153" s="1" t="s">
        <v>543</v>
      </c>
      <c r="B153" s="1" t="s">
        <v>544</v>
      </c>
      <c r="C153" s="1" t="s">
        <v>545</v>
      </c>
      <c r="D153" s="1" t="s">
        <v>546</v>
      </c>
      <c r="E153" s="1" t="s">
        <v>44</v>
      </c>
    </row>
    <row r="154" spans="1:6" x14ac:dyDescent="0.3">
      <c r="A154" s="1" t="s">
        <v>556</v>
      </c>
      <c r="B154" s="1" t="s">
        <v>558</v>
      </c>
      <c r="C154" s="1" t="s">
        <v>559</v>
      </c>
      <c r="D154" s="1" t="s">
        <v>560</v>
      </c>
      <c r="E154" s="1" t="s">
        <v>44</v>
      </c>
      <c r="F154" s="1" t="s">
        <v>1652</v>
      </c>
    </row>
    <row r="155" spans="1:6" x14ac:dyDescent="0.3">
      <c r="A155" s="1" t="s">
        <v>358</v>
      </c>
      <c r="B155" s="1" t="s">
        <v>359</v>
      </c>
      <c r="C155" s="1" t="s">
        <v>239</v>
      </c>
      <c r="D155" s="1" t="s">
        <v>360</v>
      </c>
      <c r="E155" s="1" t="s">
        <v>44</v>
      </c>
      <c r="F155" s="1" t="s">
        <v>2790</v>
      </c>
    </row>
    <row r="156" spans="1:6" x14ac:dyDescent="0.3">
      <c r="A156" s="1" t="s">
        <v>924</v>
      </c>
      <c r="B156" s="1" t="s">
        <v>925</v>
      </c>
      <c r="C156" s="1" t="s">
        <v>445</v>
      </c>
      <c r="D156" s="1" t="s">
        <v>446</v>
      </c>
      <c r="E156" s="1" t="s">
        <v>44</v>
      </c>
      <c r="F156" s="1" t="s">
        <v>2791</v>
      </c>
    </row>
    <row r="157" spans="1:6" x14ac:dyDescent="0.3">
      <c r="A157" s="1" t="s">
        <v>492</v>
      </c>
      <c r="B157" s="1" t="s">
        <v>493</v>
      </c>
      <c r="C157" s="1" t="s">
        <v>438</v>
      </c>
      <c r="D157" s="1" t="s">
        <v>439</v>
      </c>
      <c r="E157" s="1" t="s">
        <v>44</v>
      </c>
      <c r="F157" s="1" t="s">
        <v>2792</v>
      </c>
    </row>
    <row r="158" spans="1:6" x14ac:dyDescent="0.3">
      <c r="A158" s="1" t="s">
        <v>512</v>
      </c>
      <c r="B158" s="1" t="s">
        <v>514</v>
      </c>
      <c r="C158" s="1" t="s">
        <v>407</v>
      </c>
      <c r="D158" s="1" t="s">
        <v>408</v>
      </c>
      <c r="E158" s="1" t="s">
        <v>44</v>
      </c>
      <c r="F158" s="1" t="s">
        <v>2793</v>
      </c>
    </row>
    <row r="159" spans="1:6" x14ac:dyDescent="0.3">
      <c r="A159" s="1" t="s">
        <v>809</v>
      </c>
      <c r="B159" s="1" t="s">
        <v>810</v>
      </c>
      <c r="C159" s="1" t="s">
        <v>811</v>
      </c>
      <c r="D159" s="1" t="s">
        <v>812</v>
      </c>
      <c r="E159" s="1" t="s">
        <v>44</v>
      </c>
    </row>
    <row r="160" spans="1:6" x14ac:dyDescent="0.3">
      <c r="A160" s="1" t="s">
        <v>515</v>
      </c>
      <c r="B160" s="1" t="s">
        <v>516</v>
      </c>
      <c r="C160" s="1" t="s">
        <v>517</v>
      </c>
      <c r="D160" s="1" t="s">
        <v>518</v>
      </c>
      <c r="E160" s="1" t="s">
        <v>44</v>
      </c>
      <c r="F160" s="1" t="s">
        <v>2794</v>
      </c>
    </row>
    <row r="161" spans="1:6" x14ac:dyDescent="0.3">
      <c r="A161" s="1" t="s">
        <v>461</v>
      </c>
      <c r="B161" s="1" t="s">
        <v>462</v>
      </c>
      <c r="C161" s="1" t="s">
        <v>463</v>
      </c>
      <c r="D161" s="1" t="s">
        <v>464</v>
      </c>
      <c r="E161" s="1" t="s">
        <v>44</v>
      </c>
      <c r="F161" s="1" t="s">
        <v>2820</v>
      </c>
    </row>
    <row r="162" spans="1:6" x14ac:dyDescent="0.3">
      <c r="A162" s="1" t="s">
        <v>557</v>
      </c>
      <c r="B162" s="1" t="s">
        <v>1464</v>
      </c>
      <c r="C162" s="1" t="s">
        <v>1465</v>
      </c>
      <c r="E162" s="1" t="s">
        <v>44</v>
      </c>
      <c r="F162" s="1" t="s">
        <v>1652</v>
      </c>
    </row>
    <row r="163" spans="1:6" x14ac:dyDescent="0.3">
      <c r="A163" s="1" t="s">
        <v>267</v>
      </c>
      <c r="B163" s="1" t="s">
        <v>1340</v>
      </c>
      <c r="C163" s="1" t="s">
        <v>1341</v>
      </c>
      <c r="E163" s="1" t="s">
        <v>44</v>
      </c>
      <c r="F163" s="1" t="s">
        <v>1579</v>
      </c>
    </row>
    <row r="164" spans="1:6" x14ac:dyDescent="0.3">
      <c r="A164" s="1" t="s">
        <v>276</v>
      </c>
      <c r="B164" s="1" t="s">
        <v>1365</v>
      </c>
      <c r="C164" s="1" t="s">
        <v>1293</v>
      </c>
      <c r="E164" s="1" t="s">
        <v>44</v>
      </c>
      <c r="F164" s="1" t="s">
        <v>1593</v>
      </c>
    </row>
    <row r="165" spans="1:6" x14ac:dyDescent="0.3">
      <c r="A165" s="1" t="s">
        <v>1474</v>
      </c>
      <c r="B165" s="1" t="s">
        <v>1475</v>
      </c>
      <c r="C165" s="1" t="s">
        <v>1249</v>
      </c>
      <c r="E165" s="1" t="s">
        <v>44</v>
      </c>
      <c r="F165" s="1" t="s">
        <v>1657</v>
      </c>
    </row>
    <row r="166" spans="1:6" x14ac:dyDescent="0.3">
      <c r="A166" s="1" t="s">
        <v>943</v>
      </c>
      <c r="B166" s="1" t="s">
        <v>1443</v>
      </c>
      <c r="C166" s="1" t="s">
        <v>1431</v>
      </c>
      <c r="E166" s="1" t="s">
        <v>44</v>
      </c>
      <c r="F166" s="1" t="s">
        <v>1639</v>
      </c>
    </row>
    <row r="167" spans="1:6" x14ac:dyDescent="0.3">
      <c r="A167" s="1" t="s">
        <v>513</v>
      </c>
      <c r="B167" s="1" t="s">
        <v>1458</v>
      </c>
      <c r="C167" s="1" t="s">
        <v>1431</v>
      </c>
      <c r="E167" s="1" t="s">
        <v>44</v>
      </c>
      <c r="F167" s="1" t="s">
        <v>1649</v>
      </c>
    </row>
    <row r="168" spans="1:6" x14ac:dyDescent="0.3">
      <c r="A168" s="1" t="s">
        <v>635</v>
      </c>
      <c r="B168" s="1" t="s">
        <v>1361</v>
      </c>
      <c r="C168" s="1" t="s">
        <v>1362</v>
      </c>
      <c r="E168" s="1" t="s">
        <v>44</v>
      </c>
      <c r="F168" s="1" t="s">
        <v>1591</v>
      </c>
    </row>
    <row r="169" spans="1:6" x14ac:dyDescent="0.3">
      <c r="A169" s="1" t="s">
        <v>1379</v>
      </c>
      <c r="B169" s="1" t="s">
        <v>1380</v>
      </c>
      <c r="C169" s="1" t="s">
        <v>1381</v>
      </c>
      <c r="E169" s="1" t="s">
        <v>44</v>
      </c>
      <c r="F169" s="1" t="s">
        <v>1602</v>
      </c>
    </row>
    <row r="170" spans="1:6" x14ac:dyDescent="0.3">
      <c r="A170" s="1" t="s">
        <v>589</v>
      </c>
      <c r="B170" s="1" t="s">
        <v>1444</v>
      </c>
      <c r="E170" s="1" t="s">
        <v>44</v>
      </c>
      <c r="F170" s="1" t="s">
        <v>1640</v>
      </c>
    </row>
    <row r="171" spans="1:6" x14ac:dyDescent="0.3">
      <c r="A171" s="1" t="s">
        <v>1428</v>
      </c>
      <c r="B171" s="1" t="s">
        <v>1429</v>
      </c>
      <c r="C171" s="1" t="s">
        <v>1280</v>
      </c>
      <c r="E171" s="1" t="s">
        <v>44</v>
      </c>
      <c r="F171" s="1" t="s">
        <v>1631</v>
      </c>
    </row>
    <row r="172" spans="1:6" x14ac:dyDescent="0.3">
      <c r="A172" s="1" t="s">
        <v>579</v>
      </c>
      <c r="B172" s="1" t="s">
        <v>1447</v>
      </c>
      <c r="C172" s="1" t="s">
        <v>1448</v>
      </c>
      <c r="E172" s="1" t="s">
        <v>44</v>
      </c>
      <c r="F172" s="1" t="s">
        <v>1642</v>
      </c>
    </row>
    <row r="173" spans="1:6" x14ac:dyDescent="0.3">
      <c r="A173" s="1" t="s">
        <v>896</v>
      </c>
      <c r="B173" s="1" t="s">
        <v>1405</v>
      </c>
      <c r="C173" s="1" t="s">
        <v>1406</v>
      </c>
      <c r="E173" s="1" t="s">
        <v>44</v>
      </c>
      <c r="F173" s="1" t="s">
        <v>1619</v>
      </c>
    </row>
    <row r="174" spans="1:6" x14ac:dyDescent="0.3">
      <c r="A174" s="1" t="s">
        <v>397</v>
      </c>
      <c r="B174" s="1" t="s">
        <v>1384</v>
      </c>
      <c r="C174" s="1" t="s">
        <v>1385</v>
      </c>
      <c r="E174" s="1" t="s">
        <v>44</v>
      </c>
      <c r="F174" s="1" t="s">
        <v>1605</v>
      </c>
    </row>
    <row r="175" spans="1:6" x14ac:dyDescent="0.3">
      <c r="A175" s="1" t="s">
        <v>390</v>
      </c>
      <c r="B175" s="1" t="s">
        <v>1382</v>
      </c>
      <c r="C175" s="1" t="s">
        <v>1343</v>
      </c>
      <c r="E175" s="1" t="s">
        <v>44</v>
      </c>
      <c r="F175" s="1" t="s">
        <v>1603</v>
      </c>
    </row>
    <row r="176" spans="1:6" x14ac:dyDescent="0.3">
      <c r="A176" s="1" t="s">
        <v>1484</v>
      </c>
      <c r="B176" s="1" t="s">
        <v>1485</v>
      </c>
      <c r="C176" s="1" t="s">
        <v>1486</v>
      </c>
      <c r="E176" s="1" t="s">
        <v>44</v>
      </c>
      <c r="F176" s="1" t="s">
        <v>1662</v>
      </c>
    </row>
    <row r="177" spans="1:6" x14ac:dyDescent="0.3">
      <c r="A177" s="1" t="s">
        <v>1332</v>
      </c>
      <c r="B177" s="1" t="s">
        <v>1333</v>
      </c>
      <c r="C177" s="1" t="s">
        <v>1334</v>
      </c>
      <c r="E177" s="1" t="s">
        <v>44</v>
      </c>
      <c r="F177" s="1" t="s">
        <v>1576</v>
      </c>
    </row>
    <row r="178" spans="1:6" x14ac:dyDescent="0.3">
      <c r="A178" s="1" t="s">
        <v>1320</v>
      </c>
      <c r="B178" s="1" t="s">
        <v>1321</v>
      </c>
      <c r="C178" s="1" t="s">
        <v>1322</v>
      </c>
      <c r="E178" s="1" t="s">
        <v>44</v>
      </c>
      <c r="F178" s="1" t="s">
        <v>1571</v>
      </c>
    </row>
    <row r="179" spans="1:6" x14ac:dyDescent="0.3">
      <c r="A179" s="1" t="s">
        <v>483</v>
      </c>
      <c r="B179" s="1" t="s">
        <v>1414</v>
      </c>
      <c r="C179" s="1" t="s">
        <v>1415</v>
      </c>
      <c r="E179" s="1" t="s">
        <v>44</v>
      </c>
      <c r="F179" s="1" t="s">
        <v>1623</v>
      </c>
    </row>
    <row r="180" spans="1:6" x14ac:dyDescent="0.3">
      <c r="A180" s="1" t="s">
        <v>431</v>
      </c>
      <c r="B180" s="1" t="s">
        <v>1404</v>
      </c>
      <c r="C180" s="1" t="s">
        <v>1276</v>
      </c>
      <c r="E180" s="1" t="s">
        <v>44</v>
      </c>
      <c r="F180" s="1" t="s">
        <v>1618</v>
      </c>
    </row>
    <row r="181" spans="1:6" x14ac:dyDescent="0.3">
      <c r="A181" s="1" t="s">
        <v>1449</v>
      </c>
      <c r="B181" s="1" t="s">
        <v>1450</v>
      </c>
      <c r="C181" s="1" t="s">
        <v>1451</v>
      </c>
      <c r="E181" s="1" t="s">
        <v>44</v>
      </c>
      <c r="F181" s="1" t="s">
        <v>1643</v>
      </c>
    </row>
    <row r="182" spans="1:6" x14ac:dyDescent="0.3">
      <c r="A182" s="1" t="s">
        <v>757</v>
      </c>
      <c r="B182" s="1" t="s">
        <v>1452</v>
      </c>
      <c r="C182" s="1" t="s">
        <v>1282</v>
      </c>
      <c r="E182" s="1" t="s">
        <v>44</v>
      </c>
      <c r="F182" s="1" t="s">
        <v>1644</v>
      </c>
    </row>
    <row r="183" spans="1:6" x14ac:dyDescent="0.3">
      <c r="A183" s="1" t="s">
        <v>1409</v>
      </c>
      <c r="B183" s="1" t="s">
        <v>1187</v>
      </c>
      <c r="C183" s="1" t="s">
        <v>1410</v>
      </c>
      <c r="E183" s="1" t="s">
        <v>44</v>
      </c>
      <c r="F183" s="1" t="s">
        <v>1621</v>
      </c>
    </row>
    <row r="184" spans="1:6" x14ac:dyDescent="0.3">
      <c r="A184" s="1" t="s">
        <v>1186</v>
      </c>
      <c r="B184" s="1" t="s">
        <v>1187</v>
      </c>
      <c r="C184" s="1" t="s">
        <v>1188</v>
      </c>
      <c r="E184" s="1" t="s">
        <v>44</v>
      </c>
      <c r="F184" s="1" t="s">
        <v>1501</v>
      </c>
    </row>
    <row r="185" spans="1:6" x14ac:dyDescent="0.3">
      <c r="A185" s="1" t="s">
        <v>552</v>
      </c>
      <c r="B185" s="1" t="s">
        <v>1396</v>
      </c>
      <c r="C185" s="1" t="s">
        <v>1397</v>
      </c>
      <c r="E185" s="1" t="s">
        <v>44</v>
      </c>
      <c r="F185" s="1" t="s">
        <v>1614</v>
      </c>
    </row>
    <row r="186" spans="1:6" x14ac:dyDescent="0.3">
      <c r="A186" s="1" t="s">
        <v>450</v>
      </c>
      <c r="B186" s="1" t="s">
        <v>451</v>
      </c>
      <c r="C186" s="1" t="s">
        <v>1276</v>
      </c>
      <c r="E186" s="1" t="s">
        <v>44</v>
      </c>
      <c r="F186" s="1" t="s">
        <v>1608</v>
      </c>
    </row>
    <row r="187" spans="1:6" x14ac:dyDescent="0.3">
      <c r="A187" s="1" t="s">
        <v>443</v>
      </c>
      <c r="B187" s="1" t="s">
        <v>1453</v>
      </c>
      <c r="C187" s="1" t="s">
        <v>1264</v>
      </c>
      <c r="E187" s="1" t="s">
        <v>44</v>
      </c>
      <c r="F187" s="1" t="s">
        <v>1645</v>
      </c>
    </row>
    <row r="188" spans="1:6" x14ac:dyDescent="0.3">
      <c r="A188" s="1" t="s">
        <v>482</v>
      </c>
      <c r="B188" s="1" t="s">
        <v>484</v>
      </c>
      <c r="C188" s="1" t="s">
        <v>485</v>
      </c>
      <c r="D188" s="1" t="s">
        <v>486</v>
      </c>
      <c r="E188" s="1" t="s">
        <v>44</v>
      </c>
      <c r="F188" s="1" t="s">
        <v>1623</v>
      </c>
    </row>
    <row r="189" spans="1:6" x14ac:dyDescent="0.3">
      <c r="A189" s="1" t="s">
        <v>389</v>
      </c>
      <c r="B189" s="1" t="s">
        <v>391</v>
      </c>
      <c r="C189" s="1" t="s">
        <v>264</v>
      </c>
      <c r="D189" s="1" t="s">
        <v>265</v>
      </c>
      <c r="E189" s="1" t="s">
        <v>44</v>
      </c>
      <c r="F189" s="1" t="s">
        <v>1603</v>
      </c>
    </row>
    <row r="190" spans="1:6" x14ac:dyDescent="0.3">
      <c r="A190" s="1" t="s">
        <v>942</v>
      </c>
      <c r="B190" s="1" t="s">
        <v>944</v>
      </c>
      <c r="C190" s="1" t="s">
        <v>407</v>
      </c>
      <c r="D190" s="1" t="s">
        <v>408</v>
      </c>
      <c r="E190" s="1" t="s">
        <v>44</v>
      </c>
      <c r="F190" s="1" t="s">
        <v>2821</v>
      </c>
    </row>
    <row r="191" spans="1:6" x14ac:dyDescent="0.3">
      <c r="A191" s="1" t="s">
        <v>489</v>
      </c>
      <c r="B191" s="1" t="s">
        <v>490</v>
      </c>
      <c r="C191" s="1" t="s">
        <v>436</v>
      </c>
      <c r="D191" s="1" t="s">
        <v>437</v>
      </c>
      <c r="E191" s="1" t="s">
        <v>44</v>
      </c>
    </row>
    <row r="192" spans="1:6" x14ac:dyDescent="0.3">
      <c r="A192" s="1" t="s">
        <v>572</v>
      </c>
      <c r="B192" s="1" t="s">
        <v>573</v>
      </c>
      <c r="C192" s="1" t="s">
        <v>438</v>
      </c>
      <c r="D192" s="1" t="s">
        <v>439</v>
      </c>
      <c r="E192" s="1" t="s">
        <v>44</v>
      </c>
      <c r="F192" s="1" t="s">
        <v>2822</v>
      </c>
    </row>
    <row r="193" spans="1:6" x14ac:dyDescent="0.3">
      <c r="A193" s="1" t="s">
        <v>782</v>
      </c>
      <c r="B193" s="1" t="s">
        <v>783</v>
      </c>
      <c r="C193" s="1" t="s">
        <v>784</v>
      </c>
      <c r="D193" s="1" t="s">
        <v>785</v>
      </c>
      <c r="E193" s="1" t="s">
        <v>44</v>
      </c>
      <c r="F193" s="1" t="s">
        <v>2823</v>
      </c>
    </row>
    <row r="194" spans="1:6" x14ac:dyDescent="0.3">
      <c r="A194" s="1" t="s">
        <v>634</v>
      </c>
      <c r="B194" s="1" t="s">
        <v>636</v>
      </c>
      <c r="C194" s="1" t="s">
        <v>637</v>
      </c>
      <c r="D194" s="1" t="s">
        <v>638</v>
      </c>
      <c r="E194" s="1" t="s">
        <v>44</v>
      </c>
      <c r="F194" s="1" t="s">
        <v>2824</v>
      </c>
    </row>
    <row r="195" spans="1:6" x14ac:dyDescent="0.3">
      <c r="A195" s="1" t="s">
        <v>385</v>
      </c>
      <c r="B195" s="1" t="s">
        <v>386</v>
      </c>
      <c r="C195" s="1" t="s">
        <v>366</v>
      </c>
      <c r="D195" s="1" t="s">
        <v>367</v>
      </c>
      <c r="E195" s="1" t="s">
        <v>44</v>
      </c>
    </row>
    <row r="196" spans="1:6" x14ac:dyDescent="0.3">
      <c r="A196" s="1" t="s">
        <v>487</v>
      </c>
      <c r="B196" s="1" t="s">
        <v>488</v>
      </c>
      <c r="C196" s="1" t="s">
        <v>242</v>
      </c>
      <c r="D196" s="1" t="s">
        <v>457</v>
      </c>
      <c r="E196" s="1" t="s">
        <v>44</v>
      </c>
      <c r="F196" s="1" t="s">
        <v>2825</v>
      </c>
    </row>
    <row r="197" spans="1:6" x14ac:dyDescent="0.3">
      <c r="A197" s="1" t="s">
        <v>1833</v>
      </c>
      <c r="B197" s="1" t="s">
        <v>1154</v>
      </c>
      <c r="C197" s="1" t="s">
        <v>1155</v>
      </c>
      <c r="E197" s="1" t="s">
        <v>100</v>
      </c>
      <c r="F197" s="1" t="s">
        <v>1489</v>
      </c>
    </row>
    <row r="198" spans="1:6" x14ac:dyDescent="0.3">
      <c r="A198" s="1" t="s">
        <v>1836</v>
      </c>
      <c r="B198" s="1" t="s">
        <v>1156</v>
      </c>
      <c r="C198" s="1" t="s">
        <v>1157</v>
      </c>
      <c r="E198" s="1" t="s">
        <v>100</v>
      </c>
      <c r="F198" s="1" t="s">
        <v>1490</v>
      </c>
    </row>
    <row r="199" spans="1:6" x14ac:dyDescent="0.3">
      <c r="A199" s="1" t="s">
        <v>1837</v>
      </c>
      <c r="B199" s="1" t="s">
        <v>762</v>
      </c>
      <c r="C199" s="1" t="s">
        <v>733</v>
      </c>
      <c r="D199" s="1" t="s">
        <v>734</v>
      </c>
      <c r="E199" s="1" t="s">
        <v>100</v>
      </c>
      <c r="F199" s="1" t="s">
        <v>69</v>
      </c>
    </row>
    <row r="200" spans="1:6" x14ac:dyDescent="0.3">
      <c r="A200" s="1" t="s">
        <v>1838</v>
      </c>
      <c r="B200" s="1" t="s">
        <v>615</v>
      </c>
      <c r="C200" s="1" t="s">
        <v>278</v>
      </c>
      <c r="D200" s="1" t="s">
        <v>279</v>
      </c>
      <c r="E200" s="1" t="s">
        <v>100</v>
      </c>
    </row>
    <row r="201" spans="1:6" x14ac:dyDescent="0.3">
      <c r="A201" s="1" t="s">
        <v>1841</v>
      </c>
      <c r="B201" s="1" t="s">
        <v>1181</v>
      </c>
      <c r="C201" s="1" t="s">
        <v>1182</v>
      </c>
      <c r="E201" s="1" t="s">
        <v>100</v>
      </c>
      <c r="F201" s="1" t="s">
        <v>1842</v>
      </c>
    </row>
    <row r="202" spans="1:6" x14ac:dyDescent="0.3">
      <c r="A202" s="1" t="s">
        <v>476</v>
      </c>
      <c r="B202" s="1" t="s">
        <v>477</v>
      </c>
      <c r="C202" s="1" t="s">
        <v>356</v>
      </c>
      <c r="D202" s="1" t="s">
        <v>357</v>
      </c>
      <c r="E202" s="1" t="s">
        <v>100</v>
      </c>
      <c r="F202" s="1" t="s">
        <v>2702</v>
      </c>
    </row>
    <row r="203" spans="1:6" x14ac:dyDescent="0.3">
      <c r="A203" s="1" t="s">
        <v>403</v>
      </c>
      <c r="B203" s="1" t="s">
        <v>404</v>
      </c>
      <c r="C203" s="1" t="s">
        <v>405</v>
      </c>
      <c r="D203" s="1" t="s">
        <v>406</v>
      </c>
      <c r="E203" s="1" t="s">
        <v>100</v>
      </c>
    </row>
    <row r="204" spans="1:6" x14ac:dyDescent="0.3">
      <c r="A204" s="1" t="s">
        <v>422</v>
      </c>
      <c r="B204" s="1" t="s">
        <v>327</v>
      </c>
      <c r="C204" s="1" t="s">
        <v>424</v>
      </c>
      <c r="D204" s="1" t="s">
        <v>425</v>
      </c>
      <c r="E204" s="1" t="s">
        <v>100</v>
      </c>
    </row>
    <row r="205" spans="1:6" x14ac:dyDescent="0.3">
      <c r="A205" s="1" t="s">
        <v>1170</v>
      </c>
      <c r="B205" s="1" t="s">
        <v>1171</v>
      </c>
      <c r="C205" s="1" t="s">
        <v>1172</v>
      </c>
      <c r="E205" s="1" t="s">
        <v>100</v>
      </c>
      <c r="F205" s="1" t="s">
        <v>1496</v>
      </c>
    </row>
    <row r="206" spans="1:6" x14ac:dyDescent="0.3">
      <c r="A206" s="1" t="s">
        <v>1173</v>
      </c>
      <c r="B206" s="1" t="s">
        <v>1174</v>
      </c>
      <c r="C206" s="1" t="s">
        <v>1167</v>
      </c>
      <c r="E206" s="1" t="s">
        <v>100</v>
      </c>
      <c r="F206" s="1" t="s">
        <v>1497</v>
      </c>
    </row>
    <row r="207" spans="1:6" x14ac:dyDescent="0.3">
      <c r="A207" s="1" t="s">
        <v>323</v>
      </c>
      <c r="B207" s="1" t="s">
        <v>324</v>
      </c>
      <c r="C207" s="1" t="s">
        <v>238</v>
      </c>
      <c r="D207" s="1" t="s">
        <v>325</v>
      </c>
      <c r="E207" s="1" t="s">
        <v>100</v>
      </c>
      <c r="F207" s="1" t="s">
        <v>2716</v>
      </c>
    </row>
    <row r="208" spans="1:6" x14ac:dyDescent="0.3">
      <c r="A208" s="1" t="s">
        <v>478</v>
      </c>
      <c r="B208" s="1" t="s">
        <v>479</v>
      </c>
      <c r="C208" s="1" t="s">
        <v>480</v>
      </c>
      <c r="D208" s="1" t="s">
        <v>481</v>
      </c>
      <c r="E208" s="1" t="s">
        <v>100</v>
      </c>
      <c r="F208" s="1" t="s">
        <v>2719</v>
      </c>
    </row>
    <row r="209" spans="1:6" x14ac:dyDescent="0.3">
      <c r="A209" s="1" t="s">
        <v>607</v>
      </c>
      <c r="B209" s="1" t="s">
        <v>582</v>
      </c>
      <c r="C209" s="1" t="s">
        <v>583</v>
      </c>
      <c r="D209" s="1" t="s">
        <v>584</v>
      </c>
      <c r="E209" s="1" t="s">
        <v>100</v>
      </c>
    </row>
    <row r="210" spans="1:6" x14ac:dyDescent="0.3">
      <c r="A210" s="1" t="s">
        <v>472</v>
      </c>
      <c r="B210" s="1" t="s">
        <v>473</v>
      </c>
      <c r="C210" s="1" t="s">
        <v>474</v>
      </c>
      <c r="D210" s="1" t="s">
        <v>475</v>
      </c>
      <c r="E210" s="1" t="s">
        <v>100</v>
      </c>
      <c r="F210" s="1" t="s">
        <v>2725</v>
      </c>
    </row>
    <row r="211" spans="1:6" x14ac:dyDescent="0.3">
      <c r="A211" s="1" t="s">
        <v>497</v>
      </c>
      <c r="B211" s="1" t="s">
        <v>498</v>
      </c>
      <c r="C211" s="1" t="s">
        <v>445</v>
      </c>
      <c r="D211" s="1" t="s">
        <v>446</v>
      </c>
      <c r="E211" s="1" t="s">
        <v>100</v>
      </c>
      <c r="F211" s="1" t="s">
        <v>1641</v>
      </c>
    </row>
    <row r="212" spans="1:6" x14ac:dyDescent="0.3">
      <c r="A212" s="1" t="s">
        <v>655</v>
      </c>
      <c r="B212" s="1" t="s">
        <v>656</v>
      </c>
      <c r="C212" s="1" t="s">
        <v>657</v>
      </c>
      <c r="D212" s="1" t="s">
        <v>658</v>
      </c>
      <c r="E212" s="1" t="s">
        <v>100</v>
      </c>
      <c r="F212" s="1" t="s">
        <v>2726</v>
      </c>
    </row>
    <row r="213" spans="1:6" x14ac:dyDescent="0.3">
      <c r="A213" s="1" t="s">
        <v>623</v>
      </c>
      <c r="B213" s="1" t="s">
        <v>625</v>
      </c>
      <c r="C213" s="1" t="s">
        <v>626</v>
      </c>
      <c r="D213" s="1" t="s">
        <v>627</v>
      </c>
      <c r="E213" s="1" t="s">
        <v>100</v>
      </c>
      <c r="F213" s="1" t="s">
        <v>1616</v>
      </c>
    </row>
    <row r="214" spans="1:6" x14ac:dyDescent="0.3">
      <c r="A214" s="1" t="s">
        <v>530</v>
      </c>
      <c r="B214" s="1" t="s">
        <v>531</v>
      </c>
      <c r="C214" s="1" t="s">
        <v>242</v>
      </c>
      <c r="D214" s="1" t="s">
        <v>457</v>
      </c>
      <c r="E214" s="1" t="s">
        <v>100</v>
      </c>
      <c r="F214" s="1" t="s">
        <v>2727</v>
      </c>
    </row>
    <row r="215" spans="1:6" x14ac:dyDescent="0.3">
      <c r="A215" s="1" t="s">
        <v>729</v>
      </c>
      <c r="B215" s="1" t="s">
        <v>1199</v>
      </c>
      <c r="C215" s="1" t="s">
        <v>1185</v>
      </c>
      <c r="E215" s="1" t="s">
        <v>100</v>
      </c>
      <c r="F215" s="1" t="s">
        <v>1507</v>
      </c>
    </row>
    <row r="216" spans="1:6" x14ac:dyDescent="0.3">
      <c r="A216" s="1" t="s">
        <v>1178</v>
      </c>
      <c r="B216" s="1" t="s">
        <v>1179</v>
      </c>
      <c r="C216" s="1" t="s">
        <v>1180</v>
      </c>
      <c r="E216" s="1" t="s">
        <v>100</v>
      </c>
      <c r="F216" s="1" t="s">
        <v>1499</v>
      </c>
    </row>
    <row r="217" spans="1:6" x14ac:dyDescent="0.3">
      <c r="A217" s="1" t="s">
        <v>1227</v>
      </c>
      <c r="B217" s="1" t="s">
        <v>1228</v>
      </c>
      <c r="C217" s="1" t="s">
        <v>1229</v>
      </c>
      <c r="E217" s="1" t="s">
        <v>100</v>
      </c>
      <c r="F217" s="1" t="s">
        <v>1521</v>
      </c>
    </row>
    <row r="218" spans="1:6" x14ac:dyDescent="0.3">
      <c r="A218" s="1" t="s">
        <v>773</v>
      </c>
      <c r="B218" s="1" t="s">
        <v>775</v>
      </c>
      <c r="C218" s="1" t="s">
        <v>706</v>
      </c>
      <c r="D218" s="1" t="s">
        <v>707</v>
      </c>
      <c r="E218" s="1" t="s">
        <v>100</v>
      </c>
      <c r="F218" s="1" t="s">
        <v>1506</v>
      </c>
    </row>
    <row r="219" spans="1:6" x14ac:dyDescent="0.3">
      <c r="A219" s="1" t="s">
        <v>793</v>
      </c>
      <c r="B219" s="1" t="s">
        <v>795</v>
      </c>
      <c r="C219" s="1" t="s">
        <v>717</v>
      </c>
      <c r="D219" s="1" t="s">
        <v>718</v>
      </c>
      <c r="E219" s="1" t="s">
        <v>100</v>
      </c>
      <c r="F219" s="1" t="s">
        <v>1509</v>
      </c>
    </row>
    <row r="220" spans="1:6" x14ac:dyDescent="0.3">
      <c r="A220" s="1" t="s">
        <v>452</v>
      </c>
      <c r="B220" s="1" t="s">
        <v>454</v>
      </c>
      <c r="C220" s="1" t="s">
        <v>445</v>
      </c>
      <c r="D220" s="1" t="s">
        <v>446</v>
      </c>
      <c r="E220" s="1" t="s">
        <v>100</v>
      </c>
      <c r="F220" s="1" t="s">
        <v>1611</v>
      </c>
    </row>
    <row r="221" spans="1:6" x14ac:dyDescent="0.3">
      <c r="A221" s="1" t="s">
        <v>628</v>
      </c>
      <c r="B221" s="1" t="s">
        <v>629</v>
      </c>
      <c r="C221" s="1" t="s">
        <v>249</v>
      </c>
      <c r="D221" s="1" t="s">
        <v>630</v>
      </c>
      <c r="E221" s="1" t="s">
        <v>100</v>
      </c>
      <c r="F221" s="1" t="s">
        <v>2735</v>
      </c>
    </row>
    <row r="222" spans="1:6" x14ac:dyDescent="0.3">
      <c r="A222" s="1" t="s">
        <v>455</v>
      </c>
      <c r="B222" s="1" t="s">
        <v>456</v>
      </c>
      <c r="C222" s="1" t="s">
        <v>242</v>
      </c>
      <c r="D222" s="1" t="s">
        <v>457</v>
      </c>
      <c r="E222" s="1" t="s">
        <v>100</v>
      </c>
      <c r="F222" s="1" t="s">
        <v>2736</v>
      </c>
    </row>
    <row r="223" spans="1:6" x14ac:dyDescent="0.3">
      <c r="A223" s="1" t="s">
        <v>701</v>
      </c>
      <c r="B223" s="1" t="s">
        <v>703</v>
      </c>
      <c r="C223" s="1" t="s">
        <v>704</v>
      </c>
      <c r="D223" s="1" t="s">
        <v>705</v>
      </c>
      <c r="E223" s="1" t="s">
        <v>100</v>
      </c>
    </row>
    <row r="224" spans="1:6" x14ac:dyDescent="0.3">
      <c r="A224" s="1" t="s">
        <v>297</v>
      </c>
      <c r="B224" s="1" t="s">
        <v>298</v>
      </c>
      <c r="C224" s="1" t="s">
        <v>299</v>
      </c>
      <c r="D224" s="1" t="s">
        <v>300</v>
      </c>
      <c r="E224" s="1" t="s">
        <v>100</v>
      </c>
    </row>
    <row r="225" spans="1:6" x14ac:dyDescent="0.3">
      <c r="A225" s="1" t="s">
        <v>608</v>
      </c>
      <c r="B225" s="1" t="s">
        <v>1163</v>
      </c>
      <c r="C225" s="1" t="s">
        <v>1164</v>
      </c>
      <c r="E225" s="1" t="s">
        <v>100</v>
      </c>
      <c r="F225" s="1" t="s">
        <v>1492</v>
      </c>
    </row>
    <row r="226" spans="1:6" x14ac:dyDescent="0.3">
      <c r="A226" s="1" t="s">
        <v>794</v>
      </c>
      <c r="B226" s="1" t="s">
        <v>1203</v>
      </c>
      <c r="C226" s="1" t="s">
        <v>1185</v>
      </c>
      <c r="E226" s="1" t="s">
        <v>100</v>
      </c>
      <c r="F226" s="1" t="s">
        <v>1509</v>
      </c>
    </row>
    <row r="227" spans="1:6" x14ac:dyDescent="0.3">
      <c r="A227" s="1" t="s">
        <v>1200</v>
      </c>
      <c r="B227" s="1" t="s">
        <v>1201</v>
      </c>
      <c r="C227" s="1" t="s">
        <v>1202</v>
      </c>
      <c r="E227" s="1" t="s">
        <v>100</v>
      </c>
      <c r="F227" s="1" t="s">
        <v>1508</v>
      </c>
    </row>
    <row r="228" spans="1:6" x14ac:dyDescent="0.3">
      <c r="A228" s="1" t="s">
        <v>280</v>
      </c>
      <c r="B228" s="1" t="s">
        <v>282</v>
      </c>
      <c r="C228" s="1" t="s">
        <v>283</v>
      </c>
      <c r="D228" s="1" t="s">
        <v>284</v>
      </c>
      <c r="E228" s="1" t="s">
        <v>100</v>
      </c>
    </row>
    <row r="229" spans="1:6" x14ac:dyDescent="0.3">
      <c r="A229" s="1" t="s">
        <v>528</v>
      </c>
      <c r="B229" s="1" t="s">
        <v>529</v>
      </c>
      <c r="C229" s="1" t="s">
        <v>361</v>
      </c>
      <c r="D229" s="1" t="s">
        <v>361</v>
      </c>
      <c r="E229" s="1" t="s">
        <v>100</v>
      </c>
      <c r="F229" s="1" t="s">
        <v>1545</v>
      </c>
    </row>
    <row r="230" spans="1:6" x14ac:dyDescent="0.3">
      <c r="A230" s="1" t="s">
        <v>547</v>
      </c>
      <c r="B230" s="1" t="s">
        <v>548</v>
      </c>
      <c r="C230" s="1" t="s">
        <v>549</v>
      </c>
      <c r="D230" s="1" t="s">
        <v>550</v>
      </c>
      <c r="E230" s="1" t="s">
        <v>100</v>
      </c>
      <c r="F230" s="1" t="s">
        <v>2745</v>
      </c>
    </row>
    <row r="231" spans="1:6" x14ac:dyDescent="0.3">
      <c r="A231" s="1" t="s">
        <v>349</v>
      </c>
      <c r="B231" s="1" t="s">
        <v>351</v>
      </c>
      <c r="C231" s="1" t="s">
        <v>352</v>
      </c>
      <c r="D231" s="1" t="s">
        <v>353</v>
      </c>
      <c r="E231" s="1" t="s">
        <v>100</v>
      </c>
    </row>
    <row r="232" spans="1:6" x14ac:dyDescent="0.3">
      <c r="A232" s="1" t="s">
        <v>728</v>
      </c>
      <c r="B232" s="1" t="s">
        <v>730</v>
      </c>
      <c r="C232" s="1" t="s">
        <v>717</v>
      </c>
      <c r="D232" s="1" t="s">
        <v>718</v>
      </c>
      <c r="E232" s="1" t="s">
        <v>100</v>
      </c>
      <c r="F232" s="1" t="s">
        <v>1507</v>
      </c>
    </row>
    <row r="233" spans="1:6" x14ac:dyDescent="0.3">
      <c r="A233" s="1" t="s">
        <v>738</v>
      </c>
      <c r="B233" s="1" t="s">
        <v>739</v>
      </c>
      <c r="C233" s="1" t="s">
        <v>740</v>
      </c>
      <c r="D233" s="1" t="s">
        <v>741</v>
      </c>
      <c r="E233" s="1" t="s">
        <v>100</v>
      </c>
      <c r="F233" s="1" t="s">
        <v>2746</v>
      </c>
    </row>
    <row r="234" spans="1:6" x14ac:dyDescent="0.3">
      <c r="A234" s="1" t="s">
        <v>774</v>
      </c>
      <c r="B234" s="1" t="s">
        <v>1197</v>
      </c>
      <c r="C234" s="1" t="s">
        <v>1198</v>
      </c>
      <c r="E234" s="1" t="s">
        <v>100</v>
      </c>
      <c r="F234" s="1" t="s">
        <v>1506</v>
      </c>
    </row>
    <row r="235" spans="1:6" x14ac:dyDescent="0.3">
      <c r="A235" s="1" t="s">
        <v>532</v>
      </c>
      <c r="B235" s="1" t="s">
        <v>533</v>
      </c>
      <c r="C235" s="1" t="s">
        <v>534</v>
      </c>
      <c r="D235" s="1" t="s">
        <v>535</v>
      </c>
      <c r="E235" s="1" t="s">
        <v>100</v>
      </c>
    </row>
    <row r="236" spans="1:6" x14ac:dyDescent="0.3">
      <c r="A236" s="1" t="s">
        <v>682</v>
      </c>
      <c r="B236" s="1" t="s">
        <v>684</v>
      </c>
      <c r="C236" s="1" t="s">
        <v>685</v>
      </c>
      <c r="D236" s="1" t="s">
        <v>686</v>
      </c>
      <c r="E236" s="1" t="s">
        <v>100</v>
      </c>
      <c r="F236" s="1" t="s">
        <v>2756</v>
      </c>
    </row>
    <row r="237" spans="1:6" x14ac:dyDescent="0.3">
      <c r="A237" s="1" t="s">
        <v>598</v>
      </c>
      <c r="B237" s="1" t="s">
        <v>599</v>
      </c>
      <c r="C237" s="1" t="s">
        <v>600</v>
      </c>
      <c r="D237" s="1" t="s">
        <v>601</v>
      </c>
      <c r="E237" s="1" t="s">
        <v>100</v>
      </c>
    </row>
    <row r="238" spans="1:6" x14ac:dyDescent="0.3">
      <c r="A238" s="1" t="s">
        <v>305</v>
      </c>
      <c r="B238" s="1" t="s">
        <v>307</v>
      </c>
      <c r="C238" s="1" t="s">
        <v>308</v>
      </c>
      <c r="D238" s="1" t="s">
        <v>309</v>
      </c>
      <c r="E238" s="1" t="s">
        <v>100</v>
      </c>
    </row>
    <row r="239" spans="1:6" x14ac:dyDescent="0.3">
      <c r="A239" s="1" t="s">
        <v>440</v>
      </c>
      <c r="B239" s="1" t="s">
        <v>441</v>
      </c>
      <c r="C239" s="1" t="s">
        <v>394</v>
      </c>
      <c r="D239" s="1" t="s">
        <v>395</v>
      </c>
      <c r="E239" s="1" t="s">
        <v>100</v>
      </c>
      <c r="F239" s="1" t="s">
        <v>2757</v>
      </c>
    </row>
    <row r="240" spans="1:6" x14ac:dyDescent="0.3">
      <c r="A240" s="1" t="s">
        <v>1300</v>
      </c>
      <c r="B240" s="1" t="s">
        <v>1301</v>
      </c>
      <c r="C240" s="1" t="s">
        <v>1264</v>
      </c>
      <c r="E240" s="1" t="s">
        <v>100</v>
      </c>
      <c r="F240" s="1" t="s">
        <v>1561</v>
      </c>
    </row>
    <row r="241" spans="1:6" x14ac:dyDescent="0.3">
      <c r="A241" s="1" t="s">
        <v>1273</v>
      </c>
      <c r="B241" s="1" t="s">
        <v>1274</v>
      </c>
      <c r="C241" s="1" t="s">
        <v>1267</v>
      </c>
      <c r="E241" s="1" t="s">
        <v>100</v>
      </c>
      <c r="F241" s="1" t="s">
        <v>1545</v>
      </c>
    </row>
    <row r="242" spans="1:6" x14ac:dyDescent="0.3">
      <c r="A242" s="1" t="s">
        <v>614</v>
      </c>
      <c r="B242" s="1" t="s">
        <v>1292</v>
      </c>
      <c r="C242" s="1" t="s">
        <v>1293</v>
      </c>
      <c r="E242" s="1" t="s">
        <v>100</v>
      </c>
      <c r="F242" s="1" t="s">
        <v>1557</v>
      </c>
    </row>
    <row r="243" spans="1:6" x14ac:dyDescent="0.3">
      <c r="A243" s="1" t="s">
        <v>423</v>
      </c>
      <c r="B243" s="1" t="s">
        <v>327</v>
      </c>
      <c r="C243" s="1" t="s">
        <v>1226</v>
      </c>
      <c r="E243" s="1" t="s">
        <v>100</v>
      </c>
      <c r="F243" s="1" t="s">
        <v>1520</v>
      </c>
    </row>
    <row r="244" spans="1:6" x14ac:dyDescent="0.3">
      <c r="A244" s="1" t="s">
        <v>1255</v>
      </c>
      <c r="B244" s="1" t="s">
        <v>1256</v>
      </c>
      <c r="C244" s="1" t="s">
        <v>1257</v>
      </c>
      <c r="E244" s="1" t="s">
        <v>100</v>
      </c>
      <c r="F244" s="1" t="s">
        <v>1535</v>
      </c>
    </row>
    <row r="245" spans="1:6" x14ac:dyDescent="0.3">
      <c r="A245" s="1" t="s">
        <v>1798</v>
      </c>
      <c r="B245" s="1" t="s">
        <v>1216</v>
      </c>
      <c r="C245" s="1" t="s">
        <v>1217</v>
      </c>
      <c r="E245" s="1" t="s">
        <v>100</v>
      </c>
      <c r="F245" s="1" t="s">
        <v>1516</v>
      </c>
    </row>
    <row r="246" spans="1:6" x14ac:dyDescent="0.3">
      <c r="A246" s="1" t="s">
        <v>789</v>
      </c>
      <c r="B246" s="1" t="s">
        <v>790</v>
      </c>
      <c r="C246" s="1" t="s">
        <v>791</v>
      </c>
      <c r="D246" s="1" t="s">
        <v>792</v>
      </c>
      <c r="E246" s="1" t="s">
        <v>100</v>
      </c>
      <c r="F246" s="1" t="s">
        <v>2770</v>
      </c>
    </row>
    <row r="247" spans="1:6" x14ac:dyDescent="0.3">
      <c r="A247" s="1" t="s">
        <v>639</v>
      </c>
      <c r="B247" s="1" t="s">
        <v>533</v>
      </c>
      <c r="C247" s="1" t="s">
        <v>632</v>
      </c>
      <c r="D247" s="1" t="s">
        <v>633</v>
      </c>
      <c r="E247" s="1" t="s">
        <v>100</v>
      </c>
      <c r="F247" s="1" t="s">
        <v>2771</v>
      </c>
    </row>
    <row r="248" spans="1:6" x14ac:dyDescent="0.3">
      <c r="A248" s="1" t="s">
        <v>1001</v>
      </c>
      <c r="B248" s="1" t="s">
        <v>1002</v>
      </c>
      <c r="C248" s="1" t="s">
        <v>491</v>
      </c>
      <c r="D248" s="1" t="s">
        <v>30</v>
      </c>
      <c r="E248" s="1" t="s">
        <v>100</v>
      </c>
    </row>
    <row r="249" spans="1:6" x14ac:dyDescent="0.3">
      <c r="A249" s="1" t="s">
        <v>687</v>
      </c>
      <c r="B249" s="1" t="s">
        <v>688</v>
      </c>
      <c r="C249" s="1" t="s">
        <v>689</v>
      </c>
      <c r="D249" s="1" t="s">
        <v>690</v>
      </c>
      <c r="E249" s="1" t="s">
        <v>100</v>
      </c>
    </row>
    <row r="250" spans="1:6" x14ac:dyDescent="0.3">
      <c r="A250" s="1" t="s">
        <v>508</v>
      </c>
      <c r="B250" s="1" t="s">
        <v>509</v>
      </c>
      <c r="C250" s="1" t="s">
        <v>510</v>
      </c>
      <c r="D250" s="1" t="s">
        <v>511</v>
      </c>
      <c r="E250" s="1" t="s">
        <v>100</v>
      </c>
    </row>
    <row r="251" spans="1:6" x14ac:dyDescent="0.3">
      <c r="A251" s="1" t="s">
        <v>640</v>
      </c>
      <c r="B251" s="1" t="s">
        <v>641</v>
      </c>
      <c r="C251" s="1" t="s">
        <v>642</v>
      </c>
      <c r="D251" s="1" t="s">
        <v>643</v>
      </c>
      <c r="E251" s="1" t="s">
        <v>100</v>
      </c>
      <c r="F251" s="3" t="s">
        <v>2772</v>
      </c>
    </row>
    <row r="252" spans="1:6" x14ac:dyDescent="0.3">
      <c r="A252" s="1" t="s">
        <v>281</v>
      </c>
      <c r="B252" s="1" t="s">
        <v>1270</v>
      </c>
      <c r="C252" s="1" t="s">
        <v>1271</v>
      </c>
      <c r="E252" s="1" t="s">
        <v>100</v>
      </c>
      <c r="F252" s="1" t="s">
        <v>1543</v>
      </c>
    </row>
    <row r="253" spans="1:6" x14ac:dyDescent="0.3">
      <c r="A253" s="1" t="s">
        <v>702</v>
      </c>
      <c r="B253" s="1" t="s">
        <v>1294</v>
      </c>
      <c r="C253" s="1" t="s">
        <v>1295</v>
      </c>
      <c r="E253" s="1" t="s">
        <v>100</v>
      </c>
      <c r="F253" s="1" t="s">
        <v>1558</v>
      </c>
    </row>
    <row r="254" spans="1:6" x14ac:dyDescent="0.3">
      <c r="A254" s="1" t="s">
        <v>683</v>
      </c>
      <c r="B254" s="1" t="s">
        <v>1283</v>
      </c>
      <c r="C254" s="1" t="s">
        <v>1284</v>
      </c>
      <c r="E254" s="1" t="s">
        <v>100</v>
      </c>
      <c r="F254" s="1" t="s">
        <v>1552</v>
      </c>
    </row>
    <row r="255" spans="1:6" x14ac:dyDescent="0.3">
      <c r="A255" s="1" t="s">
        <v>194</v>
      </c>
      <c r="B255" s="1" t="s">
        <v>147</v>
      </c>
      <c r="C255" s="1" t="s">
        <v>98</v>
      </c>
      <c r="D255" s="1" t="s">
        <v>99</v>
      </c>
      <c r="E255" s="1" t="s">
        <v>100</v>
      </c>
      <c r="F255" s="1" t="s">
        <v>101</v>
      </c>
    </row>
    <row r="256" spans="1:6" x14ac:dyDescent="0.3">
      <c r="A256" s="1" t="s">
        <v>743</v>
      </c>
      <c r="B256" s="1" t="s">
        <v>1254</v>
      </c>
      <c r="C256" s="1" t="s">
        <v>1198</v>
      </c>
      <c r="E256" s="1" t="s">
        <v>100</v>
      </c>
      <c r="F256" s="1" t="s">
        <v>1534</v>
      </c>
    </row>
    <row r="257" spans="1:6" x14ac:dyDescent="0.3">
      <c r="A257" s="1" t="s">
        <v>310</v>
      </c>
      <c r="B257" s="1" t="s">
        <v>311</v>
      </c>
      <c r="C257" s="1" t="s">
        <v>312</v>
      </c>
      <c r="D257" s="1" t="s">
        <v>313</v>
      </c>
      <c r="E257" s="1" t="s">
        <v>100</v>
      </c>
      <c r="F257" s="1" t="s">
        <v>2795</v>
      </c>
    </row>
    <row r="258" spans="1:6" x14ac:dyDescent="0.3">
      <c r="A258" s="1" t="s">
        <v>742</v>
      </c>
      <c r="B258" s="1" t="s">
        <v>744</v>
      </c>
      <c r="C258" s="1" t="s">
        <v>706</v>
      </c>
      <c r="D258" s="1" t="s">
        <v>707</v>
      </c>
      <c r="E258" s="1" t="s">
        <v>100</v>
      </c>
      <c r="F258" s="1" t="s">
        <v>1534</v>
      </c>
    </row>
    <row r="259" spans="1:6" x14ac:dyDescent="0.3">
      <c r="A259" s="1" t="s">
        <v>343</v>
      </c>
      <c r="B259" s="1" t="s">
        <v>344</v>
      </c>
      <c r="C259" s="1" t="s">
        <v>345</v>
      </c>
      <c r="D259" s="1" t="s">
        <v>346</v>
      </c>
      <c r="E259" s="1" t="s">
        <v>100</v>
      </c>
    </row>
    <row r="260" spans="1:6" x14ac:dyDescent="0.3">
      <c r="A260" s="1" t="s">
        <v>1175</v>
      </c>
      <c r="B260" s="1" t="s">
        <v>1176</v>
      </c>
      <c r="C260" s="1" t="s">
        <v>1177</v>
      </c>
      <c r="E260" s="1" t="s">
        <v>100</v>
      </c>
      <c r="F260" s="1" t="s">
        <v>1498</v>
      </c>
    </row>
    <row r="261" spans="1:6" x14ac:dyDescent="0.3">
      <c r="A261" s="1" t="s">
        <v>1354</v>
      </c>
      <c r="B261" s="1" t="s">
        <v>1297</v>
      </c>
      <c r="C261" s="1" t="s">
        <v>1324</v>
      </c>
      <c r="E261" s="1" t="s">
        <v>100</v>
      </c>
      <c r="F261" s="1" t="s">
        <v>1586</v>
      </c>
    </row>
    <row r="262" spans="1:6" x14ac:dyDescent="0.3">
      <c r="A262" s="1" t="s">
        <v>132</v>
      </c>
      <c r="B262" s="1" t="s">
        <v>133</v>
      </c>
      <c r="C262" s="1" t="s">
        <v>134</v>
      </c>
      <c r="E262" s="1" t="s">
        <v>100</v>
      </c>
      <c r="F262" s="1" t="s">
        <v>135</v>
      </c>
    </row>
    <row r="263" spans="1:6" x14ac:dyDescent="0.3">
      <c r="A263" s="1" t="s">
        <v>1481</v>
      </c>
      <c r="B263" s="1" t="s">
        <v>1482</v>
      </c>
      <c r="E263" s="1" t="s">
        <v>100</v>
      </c>
      <c r="F263" s="1" t="s">
        <v>1660</v>
      </c>
    </row>
    <row r="264" spans="1:6" x14ac:dyDescent="0.3">
      <c r="A264" s="1" t="s">
        <v>257</v>
      </c>
      <c r="B264" s="1" t="s">
        <v>1346</v>
      </c>
      <c r="C264" s="1" t="s">
        <v>1347</v>
      </c>
      <c r="E264" s="1" t="s">
        <v>100</v>
      </c>
      <c r="F264" s="1" t="s">
        <v>1582</v>
      </c>
    </row>
    <row r="265" spans="1:6" x14ac:dyDescent="0.3">
      <c r="A265" s="1" t="s">
        <v>651</v>
      </c>
      <c r="B265" s="1" t="s">
        <v>652</v>
      </c>
      <c r="C265" s="1" t="s">
        <v>653</v>
      </c>
      <c r="D265" s="1" t="s">
        <v>654</v>
      </c>
      <c r="E265" s="1" t="s">
        <v>100</v>
      </c>
      <c r="F265" s="1" t="s">
        <v>2826</v>
      </c>
    </row>
    <row r="266" spans="1:6" x14ac:dyDescent="0.3">
      <c r="A266" s="1" t="s">
        <v>1407</v>
      </c>
      <c r="B266" s="1" t="s">
        <v>1408</v>
      </c>
      <c r="C266" s="1" t="s">
        <v>1172</v>
      </c>
      <c r="E266" s="1" t="s">
        <v>100</v>
      </c>
      <c r="F266" s="1" t="s">
        <v>1620</v>
      </c>
    </row>
    <row r="267" spans="1:6" x14ac:dyDescent="0.3">
      <c r="A267" s="1" t="s">
        <v>453</v>
      </c>
      <c r="B267" s="1" t="s">
        <v>1393</v>
      </c>
      <c r="C267" s="1" t="s">
        <v>1264</v>
      </c>
      <c r="E267" s="1" t="s">
        <v>100</v>
      </c>
      <c r="F267" s="1" t="s">
        <v>1611</v>
      </c>
    </row>
    <row r="268" spans="1:6" x14ac:dyDescent="0.3">
      <c r="A268" s="1" t="s">
        <v>624</v>
      </c>
      <c r="B268" s="1" t="s">
        <v>1400</v>
      </c>
      <c r="C268" s="1" t="s">
        <v>1401</v>
      </c>
      <c r="E268" s="1" t="s">
        <v>100</v>
      </c>
      <c r="F268" s="1" t="s">
        <v>1616</v>
      </c>
    </row>
    <row r="269" spans="1:6" x14ac:dyDescent="0.3">
      <c r="A269" s="1" t="s">
        <v>678</v>
      </c>
      <c r="B269" s="1" t="s">
        <v>679</v>
      </c>
      <c r="C269" s="1" t="s">
        <v>680</v>
      </c>
      <c r="D269" s="1" t="s">
        <v>681</v>
      </c>
      <c r="E269" s="1" t="s">
        <v>100</v>
      </c>
    </row>
    <row r="270" spans="1:6" x14ac:dyDescent="0.3">
      <c r="A270" s="1" t="s">
        <v>306</v>
      </c>
      <c r="B270" s="1" t="s">
        <v>1371</v>
      </c>
      <c r="C270" s="1" t="s">
        <v>1372</v>
      </c>
      <c r="E270" s="1" t="s">
        <v>100</v>
      </c>
      <c r="F270" s="1" t="s">
        <v>1597</v>
      </c>
    </row>
    <row r="271" spans="1:6" x14ac:dyDescent="0.3">
      <c r="A271" s="1" t="s">
        <v>1445</v>
      </c>
      <c r="B271" s="1" t="s">
        <v>1446</v>
      </c>
      <c r="C271" s="1" t="s">
        <v>1264</v>
      </c>
      <c r="E271" s="1" t="s">
        <v>100</v>
      </c>
      <c r="F271" s="1" t="s">
        <v>1641</v>
      </c>
    </row>
    <row r="272" spans="1:6" x14ac:dyDescent="0.3">
      <c r="A272" s="1" t="s">
        <v>350</v>
      </c>
      <c r="B272" s="1" t="s">
        <v>351</v>
      </c>
      <c r="E272" s="1" t="s">
        <v>100</v>
      </c>
      <c r="F272" s="1" t="s">
        <v>1613</v>
      </c>
    </row>
    <row r="273" spans="1:6" x14ac:dyDescent="0.3">
      <c r="A273" s="1" t="s">
        <v>1323</v>
      </c>
      <c r="B273" s="1" t="s">
        <v>1297</v>
      </c>
      <c r="C273" s="1" t="s">
        <v>1324</v>
      </c>
      <c r="E273" s="1" t="s">
        <v>100</v>
      </c>
      <c r="F273" s="1" t="s">
        <v>1572</v>
      </c>
    </row>
    <row r="274" spans="1:6" x14ac:dyDescent="0.3">
      <c r="A274" s="1" t="s">
        <v>256</v>
      </c>
      <c r="B274" s="1" t="s">
        <v>258</v>
      </c>
      <c r="C274" s="1" t="s">
        <v>259</v>
      </c>
      <c r="D274" s="1" t="s">
        <v>260</v>
      </c>
      <c r="E274" s="1" t="s">
        <v>100</v>
      </c>
      <c r="F274" s="1" t="s">
        <v>2827</v>
      </c>
    </row>
    <row r="275" spans="1:6" x14ac:dyDescent="0.3">
      <c r="A275" s="1" t="s">
        <v>426</v>
      </c>
      <c r="B275" s="1" t="s">
        <v>427</v>
      </c>
      <c r="C275" s="1" t="s">
        <v>428</v>
      </c>
      <c r="D275" s="1" t="s">
        <v>429</v>
      </c>
      <c r="E275" s="1" t="s">
        <v>100</v>
      </c>
    </row>
    <row r="276" spans="1:6" x14ac:dyDescent="0.3">
      <c r="A276" s="1" t="s">
        <v>798</v>
      </c>
      <c r="B276" s="1" t="s">
        <v>799</v>
      </c>
      <c r="C276" s="1" t="s">
        <v>800</v>
      </c>
      <c r="D276" s="1" t="s">
        <v>801</v>
      </c>
      <c r="E276" s="1" t="s">
        <v>100</v>
      </c>
      <c r="F276" s="1" t="s">
        <v>146</v>
      </c>
    </row>
    <row r="277" spans="1:6" x14ac:dyDescent="0.3">
      <c r="A277" s="1" t="s">
        <v>1824</v>
      </c>
      <c r="C277" s="1" t="s">
        <v>1825</v>
      </c>
      <c r="D277" s="1" t="s">
        <v>78</v>
      </c>
      <c r="E277" s="1" t="s">
        <v>100</v>
      </c>
    </row>
    <row r="278" spans="1:6" x14ac:dyDescent="0.3">
      <c r="A278" s="1" t="s">
        <v>1159</v>
      </c>
      <c r="B278" s="1" t="s">
        <v>1160</v>
      </c>
      <c r="C278" s="1" t="s">
        <v>1161</v>
      </c>
      <c r="E278" s="1" t="s">
        <v>15</v>
      </c>
      <c r="F278" s="1" t="s">
        <v>1839</v>
      </c>
    </row>
    <row r="279" spans="1:6" x14ac:dyDescent="0.3">
      <c r="A279" s="1" t="s">
        <v>1843</v>
      </c>
      <c r="B279" s="1" t="s">
        <v>1162</v>
      </c>
      <c r="C279" s="1" t="s">
        <v>1155</v>
      </c>
      <c r="E279" s="1" t="s">
        <v>15</v>
      </c>
      <c r="F279" s="1" t="s">
        <v>1491</v>
      </c>
    </row>
    <row r="280" spans="1:6" x14ac:dyDescent="0.3">
      <c r="A280" s="1" t="s">
        <v>1844</v>
      </c>
      <c r="B280" s="1" t="s">
        <v>923</v>
      </c>
      <c r="C280" s="1" t="s">
        <v>238</v>
      </c>
      <c r="D280" s="1" t="s">
        <v>325</v>
      </c>
      <c r="E280" s="1" t="s">
        <v>15</v>
      </c>
      <c r="F280" s="3" t="s">
        <v>1533</v>
      </c>
    </row>
    <row r="281" spans="1:6" x14ac:dyDescent="0.3">
      <c r="A281" s="1" t="s">
        <v>1003</v>
      </c>
      <c r="B281" s="1" t="s">
        <v>1005</v>
      </c>
      <c r="C281" s="1" t="s">
        <v>1006</v>
      </c>
      <c r="D281" s="1" t="s">
        <v>1007</v>
      </c>
      <c r="E281" s="1" t="s">
        <v>15</v>
      </c>
    </row>
    <row r="282" spans="1:6" x14ac:dyDescent="0.3">
      <c r="A282" s="1" t="s">
        <v>951</v>
      </c>
      <c r="B282" s="1" t="s">
        <v>953</v>
      </c>
      <c r="C282" s="1" t="s">
        <v>362</v>
      </c>
      <c r="D282" s="1" t="s">
        <v>363</v>
      </c>
      <c r="E282" s="1" t="s">
        <v>15</v>
      </c>
      <c r="F282" s="3" t="s">
        <v>2698</v>
      </c>
    </row>
    <row r="283" spans="1:6" x14ac:dyDescent="0.3">
      <c r="A283" s="1" t="s">
        <v>904</v>
      </c>
      <c r="B283" s="1" t="s">
        <v>905</v>
      </c>
      <c r="C283" s="1" t="s">
        <v>576</v>
      </c>
      <c r="D283" s="1" t="s">
        <v>577</v>
      </c>
      <c r="E283" s="1" t="s">
        <v>15</v>
      </c>
      <c r="F283" s="1" t="s">
        <v>2703</v>
      </c>
    </row>
    <row r="284" spans="1:6" x14ac:dyDescent="0.3">
      <c r="A284" s="1" t="s">
        <v>1089</v>
      </c>
      <c r="B284" s="1" t="s">
        <v>1090</v>
      </c>
      <c r="C284" s="1" t="s">
        <v>1053</v>
      </c>
      <c r="D284" s="1" t="s">
        <v>1054</v>
      </c>
      <c r="E284" s="1" t="s">
        <v>15</v>
      </c>
      <c r="F284" s="1" t="s">
        <v>2704</v>
      </c>
    </row>
    <row r="285" spans="1:6" x14ac:dyDescent="0.3">
      <c r="A285" s="1" t="s">
        <v>1140</v>
      </c>
      <c r="B285" s="1" t="s">
        <v>1142</v>
      </c>
      <c r="C285" s="1" t="s">
        <v>541</v>
      </c>
      <c r="D285" s="1" t="s">
        <v>542</v>
      </c>
      <c r="E285" s="1" t="s">
        <v>15</v>
      </c>
      <c r="F285" s="1" t="s">
        <v>2711</v>
      </c>
    </row>
    <row r="286" spans="1:6" x14ac:dyDescent="0.3">
      <c r="A286" s="1" t="s">
        <v>1149</v>
      </c>
      <c r="B286" s="1" t="s">
        <v>1151</v>
      </c>
      <c r="C286" s="1" t="s">
        <v>285</v>
      </c>
      <c r="D286" s="1" t="s">
        <v>286</v>
      </c>
      <c r="E286" s="1" t="s">
        <v>15</v>
      </c>
    </row>
    <row r="287" spans="1:6" x14ac:dyDescent="0.3">
      <c r="A287" s="1" t="s">
        <v>958</v>
      </c>
      <c r="B287" s="1" t="s">
        <v>959</v>
      </c>
      <c r="C287" s="1" t="s">
        <v>956</v>
      </c>
      <c r="D287" s="1" t="s">
        <v>957</v>
      </c>
      <c r="E287" s="1" t="s">
        <v>15</v>
      </c>
      <c r="F287" s="1" t="s">
        <v>2712</v>
      </c>
    </row>
    <row r="288" spans="1:6" x14ac:dyDescent="0.3">
      <c r="A288" s="1" t="s">
        <v>1183</v>
      </c>
      <c r="B288" s="1" t="s">
        <v>1184</v>
      </c>
      <c r="C288" s="1" t="s">
        <v>1185</v>
      </c>
      <c r="E288" s="1" t="s">
        <v>15</v>
      </c>
      <c r="F288" s="1" t="s">
        <v>1500</v>
      </c>
    </row>
    <row r="289" spans="1:6" x14ac:dyDescent="0.3">
      <c r="A289" s="1" t="s">
        <v>945</v>
      </c>
      <c r="B289" s="1" t="s">
        <v>947</v>
      </c>
      <c r="C289" s="1" t="s">
        <v>438</v>
      </c>
      <c r="D289" s="1" t="s">
        <v>439</v>
      </c>
      <c r="E289" s="1" t="s">
        <v>15</v>
      </c>
      <c r="F289" s="1" t="s">
        <v>2714</v>
      </c>
    </row>
    <row r="290" spans="1:6" x14ac:dyDescent="0.3">
      <c r="A290" s="1" t="s">
        <v>1008</v>
      </c>
      <c r="B290" s="1" t="s">
        <v>1010</v>
      </c>
      <c r="C290" s="1" t="s">
        <v>285</v>
      </c>
      <c r="D290" s="1" t="s">
        <v>286</v>
      </c>
      <c r="E290" s="1" t="s">
        <v>15</v>
      </c>
    </row>
    <row r="291" spans="1:6" x14ac:dyDescent="0.3">
      <c r="A291" s="1" t="s">
        <v>1107</v>
      </c>
      <c r="B291" s="1" t="s">
        <v>1189</v>
      </c>
      <c r="C291" s="1" t="s">
        <v>1190</v>
      </c>
      <c r="E291" s="1" t="s">
        <v>15</v>
      </c>
      <c r="F291" s="1" t="s">
        <v>1502</v>
      </c>
    </row>
    <row r="292" spans="1:6" x14ac:dyDescent="0.3">
      <c r="A292" s="1" t="s">
        <v>1165</v>
      </c>
      <c r="B292" s="1" t="s">
        <v>1166</v>
      </c>
      <c r="C292" s="1" t="s">
        <v>1167</v>
      </c>
      <c r="E292" s="1" t="s">
        <v>15</v>
      </c>
      <c r="F292" s="1" t="s">
        <v>1493</v>
      </c>
    </row>
    <row r="293" spans="1:6" x14ac:dyDescent="0.3">
      <c r="A293" s="1" t="s">
        <v>902</v>
      </c>
      <c r="B293" s="1" t="s">
        <v>903</v>
      </c>
      <c r="C293" s="1" t="s">
        <v>445</v>
      </c>
      <c r="D293" s="1" t="s">
        <v>446</v>
      </c>
      <c r="E293" s="1" t="s">
        <v>15</v>
      </c>
    </row>
    <row r="294" spans="1:6" x14ac:dyDescent="0.3">
      <c r="A294" s="1" t="s">
        <v>832</v>
      </c>
      <c r="B294" s="1" t="s">
        <v>834</v>
      </c>
      <c r="C294" s="1" t="s">
        <v>254</v>
      </c>
      <c r="D294" s="1" t="s">
        <v>255</v>
      </c>
      <c r="E294" s="1" t="s">
        <v>15</v>
      </c>
    </row>
    <row r="295" spans="1:6" x14ac:dyDescent="0.3">
      <c r="A295" s="1" t="s">
        <v>828</v>
      </c>
      <c r="B295" s="1" t="s">
        <v>830</v>
      </c>
      <c r="C295" s="1" t="s">
        <v>831</v>
      </c>
      <c r="D295" s="1" t="s">
        <v>375</v>
      </c>
      <c r="E295" s="1" t="s">
        <v>15</v>
      </c>
      <c r="F295" s="1" t="s">
        <v>1539</v>
      </c>
    </row>
    <row r="296" spans="1:6" x14ac:dyDescent="0.3">
      <c r="A296" s="1" t="s">
        <v>1124</v>
      </c>
      <c r="B296" s="1" t="s">
        <v>1126</v>
      </c>
      <c r="C296" s="1" t="s">
        <v>1087</v>
      </c>
      <c r="D296" s="1" t="s">
        <v>1088</v>
      </c>
      <c r="E296" s="1" t="s">
        <v>15</v>
      </c>
    </row>
    <row r="297" spans="1:6" x14ac:dyDescent="0.3">
      <c r="A297" s="1" t="s">
        <v>1004</v>
      </c>
      <c r="B297" s="1" t="s">
        <v>1242</v>
      </c>
      <c r="C297" s="1" t="s">
        <v>1243</v>
      </c>
      <c r="E297" s="1" t="s">
        <v>15</v>
      </c>
      <c r="F297" s="1" t="s">
        <v>1527</v>
      </c>
    </row>
    <row r="298" spans="1:6" x14ac:dyDescent="0.3">
      <c r="A298" s="1" t="s">
        <v>841</v>
      </c>
      <c r="B298" s="1" t="s">
        <v>843</v>
      </c>
      <c r="C298" s="1" t="s">
        <v>844</v>
      </c>
      <c r="D298" s="1" t="s">
        <v>845</v>
      </c>
      <c r="E298" s="1" t="s">
        <v>15</v>
      </c>
      <c r="F298" s="1" t="s">
        <v>1514</v>
      </c>
    </row>
    <row r="299" spans="1:6" x14ac:dyDescent="0.3">
      <c r="A299" s="1" t="s">
        <v>933</v>
      </c>
      <c r="B299" s="1" t="s">
        <v>934</v>
      </c>
      <c r="C299" s="1" t="s">
        <v>238</v>
      </c>
      <c r="D299" s="1" t="s">
        <v>325</v>
      </c>
      <c r="E299" s="1" t="s">
        <v>15</v>
      </c>
    </row>
    <row r="300" spans="1:6" x14ac:dyDescent="0.3">
      <c r="A300" s="1" t="s">
        <v>1117</v>
      </c>
      <c r="B300" s="1" t="s">
        <v>923</v>
      </c>
      <c r="C300" s="1" t="s">
        <v>248</v>
      </c>
      <c r="D300" s="1" t="s">
        <v>786</v>
      </c>
      <c r="E300" s="1" t="s">
        <v>15</v>
      </c>
      <c r="F300" s="1" t="s">
        <v>2720</v>
      </c>
    </row>
    <row r="301" spans="1:6" x14ac:dyDescent="0.3">
      <c r="A301" s="1" t="s">
        <v>1084</v>
      </c>
      <c r="B301" s="1" t="s">
        <v>1086</v>
      </c>
      <c r="C301" s="1" t="s">
        <v>1087</v>
      </c>
      <c r="D301" s="1" t="s">
        <v>1088</v>
      </c>
      <c r="E301" s="1" t="s">
        <v>15</v>
      </c>
    </row>
    <row r="302" spans="1:6" x14ac:dyDescent="0.3">
      <c r="A302" s="1" t="s">
        <v>1105</v>
      </c>
      <c r="B302" s="1" t="s">
        <v>1090</v>
      </c>
      <c r="C302" s="1" t="s">
        <v>1053</v>
      </c>
      <c r="D302" s="1" t="s">
        <v>1054</v>
      </c>
      <c r="E302" s="1" t="s">
        <v>15</v>
      </c>
      <c r="F302" s="1" t="s">
        <v>2728</v>
      </c>
    </row>
    <row r="303" spans="1:6" x14ac:dyDescent="0.3">
      <c r="A303" s="1" t="s">
        <v>1095</v>
      </c>
      <c r="B303" s="1" t="s">
        <v>1097</v>
      </c>
      <c r="C303" s="1" t="s">
        <v>748</v>
      </c>
      <c r="D303" s="1" t="s">
        <v>749</v>
      </c>
      <c r="E303" s="1" t="s">
        <v>15</v>
      </c>
      <c r="F303" s="1" t="s">
        <v>1633</v>
      </c>
    </row>
    <row r="304" spans="1:6" x14ac:dyDescent="0.3">
      <c r="A304" s="1" t="s">
        <v>874</v>
      </c>
      <c r="B304" s="1" t="s">
        <v>875</v>
      </c>
      <c r="C304" s="1" t="s">
        <v>347</v>
      </c>
      <c r="D304" s="1" t="s">
        <v>348</v>
      </c>
      <c r="E304" s="1" t="s">
        <v>15</v>
      </c>
      <c r="F304" s="1" t="s">
        <v>2729</v>
      </c>
    </row>
    <row r="305" spans="1:6" x14ac:dyDescent="0.3">
      <c r="A305" s="1" t="s">
        <v>1080</v>
      </c>
      <c r="B305" s="1" t="s">
        <v>1081</v>
      </c>
      <c r="C305" s="1" t="s">
        <v>1053</v>
      </c>
      <c r="D305" s="1" t="s">
        <v>1054</v>
      </c>
      <c r="E305" s="1" t="s">
        <v>15</v>
      </c>
      <c r="F305" s="1" t="s">
        <v>2730</v>
      </c>
    </row>
    <row r="306" spans="1:6" x14ac:dyDescent="0.3">
      <c r="A306" s="1" t="s">
        <v>1252</v>
      </c>
      <c r="B306" s="1" t="s">
        <v>1253</v>
      </c>
      <c r="C306" s="1" t="s">
        <v>1239</v>
      </c>
      <c r="E306" s="1" t="s">
        <v>15</v>
      </c>
      <c r="F306" s="1" t="s">
        <v>1533</v>
      </c>
    </row>
    <row r="307" spans="1:6" x14ac:dyDescent="0.3">
      <c r="A307" s="1" t="s">
        <v>862</v>
      </c>
      <c r="B307" s="1" t="s">
        <v>864</v>
      </c>
      <c r="C307" s="1" t="s">
        <v>865</v>
      </c>
      <c r="D307" s="1" t="s">
        <v>866</v>
      </c>
      <c r="E307" s="1" t="s">
        <v>15</v>
      </c>
      <c r="F307" s="1" t="s">
        <v>1592</v>
      </c>
    </row>
    <row r="308" spans="1:6" x14ac:dyDescent="0.3">
      <c r="A308" s="1" t="s">
        <v>935</v>
      </c>
      <c r="B308" s="1" t="s">
        <v>625</v>
      </c>
      <c r="C308" s="1" t="s">
        <v>405</v>
      </c>
      <c r="D308" s="1" t="s">
        <v>406</v>
      </c>
      <c r="E308" s="1" t="s">
        <v>15</v>
      </c>
    </row>
    <row r="309" spans="1:6" x14ac:dyDescent="0.3">
      <c r="A309" s="1" t="s">
        <v>1013</v>
      </c>
      <c r="B309" s="1" t="s">
        <v>1015</v>
      </c>
      <c r="C309" s="1" t="s">
        <v>885</v>
      </c>
      <c r="D309" s="1" t="s">
        <v>886</v>
      </c>
      <c r="E309" s="1" t="s">
        <v>15</v>
      </c>
      <c r="F309" s="1" t="s">
        <v>2737</v>
      </c>
    </row>
    <row r="310" spans="1:6" x14ac:dyDescent="0.3">
      <c r="A310" s="1" t="s">
        <v>976</v>
      </c>
      <c r="B310" s="1" t="s">
        <v>977</v>
      </c>
      <c r="C310" s="1" t="s">
        <v>445</v>
      </c>
      <c r="D310" s="1" t="s">
        <v>446</v>
      </c>
      <c r="E310" s="1" t="s">
        <v>15</v>
      </c>
    </row>
    <row r="311" spans="1:6" x14ac:dyDescent="0.3">
      <c r="A311" s="1" t="s">
        <v>1072</v>
      </c>
      <c r="B311" s="1" t="s">
        <v>723</v>
      </c>
      <c r="C311" s="1" t="s">
        <v>1073</v>
      </c>
      <c r="D311" s="1" t="s">
        <v>1074</v>
      </c>
      <c r="E311" s="1" t="s">
        <v>15</v>
      </c>
      <c r="F311" s="1" t="s">
        <v>2738</v>
      </c>
    </row>
    <row r="312" spans="1:6" x14ac:dyDescent="0.3">
      <c r="A312" s="1" t="s">
        <v>1122</v>
      </c>
      <c r="B312" s="1" t="s">
        <v>1123</v>
      </c>
      <c r="C312" s="1" t="s">
        <v>665</v>
      </c>
      <c r="D312" s="1" t="s">
        <v>666</v>
      </c>
      <c r="E312" s="1" t="s">
        <v>15</v>
      </c>
      <c r="F312" s="1" t="s">
        <v>2747</v>
      </c>
    </row>
    <row r="313" spans="1:6" x14ac:dyDescent="0.3">
      <c r="A313" s="1" t="s">
        <v>887</v>
      </c>
      <c r="B313" s="1" t="s">
        <v>888</v>
      </c>
      <c r="C313" s="1" t="s">
        <v>250</v>
      </c>
      <c r="D313" s="1" t="s">
        <v>247</v>
      </c>
      <c r="E313" s="1" t="s">
        <v>15</v>
      </c>
      <c r="F313" s="1" t="s">
        <v>2748</v>
      </c>
    </row>
    <row r="314" spans="1:6" x14ac:dyDescent="0.3">
      <c r="A314" s="1" t="s">
        <v>931</v>
      </c>
      <c r="B314" s="1" t="s">
        <v>932</v>
      </c>
      <c r="C314" s="1" t="s">
        <v>405</v>
      </c>
      <c r="D314" s="1" t="s">
        <v>406</v>
      </c>
      <c r="E314" s="1" t="s">
        <v>15</v>
      </c>
    </row>
    <row r="315" spans="1:6" x14ac:dyDescent="0.3">
      <c r="A315" s="1" t="s">
        <v>1125</v>
      </c>
      <c r="B315" s="1" t="s">
        <v>1258</v>
      </c>
      <c r="C315" s="1" t="s">
        <v>1241</v>
      </c>
      <c r="E315" s="1" t="s">
        <v>15</v>
      </c>
      <c r="F315" s="1" t="s">
        <v>1537</v>
      </c>
    </row>
    <row r="316" spans="1:6" x14ac:dyDescent="0.3">
      <c r="A316" s="1" t="s">
        <v>842</v>
      </c>
      <c r="B316" s="1" t="s">
        <v>1211</v>
      </c>
      <c r="C316" s="1" t="s">
        <v>1212</v>
      </c>
      <c r="E316" s="1" t="s">
        <v>15</v>
      </c>
      <c r="F316" s="1" t="s">
        <v>1514</v>
      </c>
    </row>
    <row r="317" spans="1:6" x14ac:dyDescent="0.3">
      <c r="A317" s="1" t="s">
        <v>946</v>
      </c>
      <c r="B317" s="1" t="s">
        <v>1248</v>
      </c>
      <c r="C317" s="1" t="s">
        <v>1249</v>
      </c>
      <c r="E317" s="1" t="s">
        <v>15</v>
      </c>
      <c r="F317" s="1" t="s">
        <v>1530</v>
      </c>
    </row>
    <row r="318" spans="1:6" x14ac:dyDescent="0.3">
      <c r="A318" s="1" t="s">
        <v>1141</v>
      </c>
      <c r="B318" s="1" t="s">
        <v>1236</v>
      </c>
      <c r="C318" s="1" t="s">
        <v>1237</v>
      </c>
      <c r="E318" s="1" t="s">
        <v>15</v>
      </c>
      <c r="F318" s="1" t="s">
        <v>1524</v>
      </c>
    </row>
    <row r="319" spans="1:6" x14ac:dyDescent="0.3">
      <c r="A319" s="1" t="s">
        <v>1076</v>
      </c>
      <c r="B319" s="1" t="s">
        <v>1191</v>
      </c>
      <c r="C319" s="1" t="s">
        <v>120</v>
      </c>
      <c r="E319" s="1" t="s">
        <v>15</v>
      </c>
      <c r="F319" s="1" t="s">
        <v>1503</v>
      </c>
    </row>
    <row r="320" spans="1:6" x14ac:dyDescent="0.3">
      <c r="A320" s="1" t="s">
        <v>950</v>
      </c>
      <c r="B320" s="1" t="s">
        <v>533</v>
      </c>
      <c r="C320" s="1" t="s">
        <v>649</v>
      </c>
      <c r="D320" s="1" t="s">
        <v>650</v>
      </c>
      <c r="E320" s="1" t="s">
        <v>15</v>
      </c>
      <c r="F320" s="1" t="s">
        <v>2758</v>
      </c>
    </row>
    <row r="321" spans="1:6" x14ac:dyDescent="0.3">
      <c r="A321" s="1" t="s">
        <v>1106</v>
      </c>
      <c r="B321" s="1" t="s">
        <v>1108</v>
      </c>
      <c r="C321" s="1" t="s">
        <v>726</v>
      </c>
      <c r="D321" s="1" t="s">
        <v>727</v>
      </c>
      <c r="E321" s="1" t="s">
        <v>15</v>
      </c>
    </row>
    <row r="322" spans="1:6" x14ac:dyDescent="0.3">
      <c r="A322" s="1" t="s">
        <v>988</v>
      </c>
      <c r="B322" s="1" t="s">
        <v>990</v>
      </c>
      <c r="C322" s="1" t="s">
        <v>438</v>
      </c>
      <c r="D322" s="1" t="s">
        <v>439</v>
      </c>
      <c r="E322" s="1" t="s">
        <v>15</v>
      </c>
      <c r="F322" s="1" t="s">
        <v>2759</v>
      </c>
    </row>
    <row r="323" spans="1:6" x14ac:dyDescent="0.3">
      <c r="A323" s="1" t="s">
        <v>876</v>
      </c>
      <c r="B323" s="1" t="s">
        <v>878</v>
      </c>
      <c r="C323" s="1" t="s">
        <v>238</v>
      </c>
      <c r="D323" s="1" t="s">
        <v>325</v>
      </c>
      <c r="E323" s="1" t="s">
        <v>15</v>
      </c>
      <c r="F323" s="1" t="s">
        <v>1525</v>
      </c>
    </row>
    <row r="324" spans="1:6" x14ac:dyDescent="0.3">
      <c r="A324" s="1" t="s">
        <v>846</v>
      </c>
      <c r="B324" s="1" t="s">
        <v>847</v>
      </c>
      <c r="C324" s="1" t="s">
        <v>242</v>
      </c>
      <c r="D324" s="1" t="s">
        <v>457</v>
      </c>
      <c r="E324" s="1" t="s">
        <v>15</v>
      </c>
      <c r="F324" s="1" t="s">
        <v>2760</v>
      </c>
    </row>
    <row r="325" spans="1:6" x14ac:dyDescent="0.3">
      <c r="A325" s="1" t="s">
        <v>1036</v>
      </c>
      <c r="B325" s="1" t="s">
        <v>1038</v>
      </c>
      <c r="C325" s="1" t="s">
        <v>1039</v>
      </c>
      <c r="D325" s="1" t="s">
        <v>1040</v>
      </c>
      <c r="E325" s="1" t="s">
        <v>15</v>
      </c>
      <c r="F325" s="1" t="s">
        <v>1542</v>
      </c>
    </row>
    <row r="326" spans="1:6" x14ac:dyDescent="0.3">
      <c r="A326" s="1" t="s">
        <v>195</v>
      </c>
      <c r="B326" s="1" t="s">
        <v>33</v>
      </c>
      <c r="C326" s="1" t="s">
        <v>29</v>
      </c>
      <c r="D326" s="1" t="s">
        <v>30</v>
      </c>
      <c r="E326" s="1" t="s">
        <v>15</v>
      </c>
      <c r="F326" s="1" t="s">
        <v>34</v>
      </c>
    </row>
    <row r="327" spans="1:6" x14ac:dyDescent="0.3">
      <c r="A327" s="1" t="s">
        <v>1085</v>
      </c>
      <c r="B327" s="1" t="s">
        <v>1240</v>
      </c>
      <c r="C327" s="1" t="s">
        <v>1241</v>
      </c>
      <c r="E327" s="1" t="s">
        <v>15</v>
      </c>
      <c r="F327" s="1" t="s">
        <v>1526</v>
      </c>
    </row>
    <row r="328" spans="1:6" x14ac:dyDescent="0.3">
      <c r="A328" s="1" t="s">
        <v>1112</v>
      </c>
      <c r="B328" s="1" t="s">
        <v>1113</v>
      </c>
      <c r="C328" s="1" t="s">
        <v>1114</v>
      </c>
      <c r="D328" s="1" t="s">
        <v>241</v>
      </c>
      <c r="E328" s="1" t="s">
        <v>15</v>
      </c>
    </row>
    <row r="329" spans="1:6" x14ac:dyDescent="0.3">
      <c r="A329" s="1" t="s">
        <v>877</v>
      </c>
      <c r="B329" s="1" t="s">
        <v>1238</v>
      </c>
      <c r="C329" s="1" t="s">
        <v>1239</v>
      </c>
      <c r="E329" s="1" t="s">
        <v>15</v>
      </c>
      <c r="F329" s="1" t="s">
        <v>1525</v>
      </c>
    </row>
    <row r="330" spans="1:6" x14ac:dyDescent="0.3">
      <c r="A330" s="1" t="s">
        <v>1082</v>
      </c>
      <c r="B330" s="1" t="s">
        <v>1083</v>
      </c>
      <c r="C330" s="1" t="s">
        <v>676</v>
      </c>
      <c r="D330" s="1" t="s">
        <v>677</v>
      </c>
      <c r="E330" s="1" t="s">
        <v>15</v>
      </c>
      <c r="F330" s="1" t="s">
        <v>2773</v>
      </c>
    </row>
    <row r="331" spans="1:6" x14ac:dyDescent="0.3">
      <c r="A331" s="1" t="s">
        <v>954</v>
      </c>
      <c r="B331" s="1" t="s">
        <v>955</v>
      </c>
      <c r="C331" s="1" t="s">
        <v>956</v>
      </c>
      <c r="D331" s="1" t="s">
        <v>957</v>
      </c>
      <c r="E331" s="1" t="s">
        <v>15</v>
      </c>
      <c r="F331" s="1" t="s">
        <v>2774</v>
      </c>
    </row>
    <row r="332" spans="1:6" x14ac:dyDescent="0.3">
      <c r="A332" s="1" t="s">
        <v>859</v>
      </c>
      <c r="B332" s="1" t="s">
        <v>861</v>
      </c>
      <c r="C332" s="1" t="s">
        <v>445</v>
      </c>
      <c r="D332" s="1" t="s">
        <v>446</v>
      </c>
      <c r="E332" s="1" t="s">
        <v>15</v>
      </c>
    </row>
    <row r="333" spans="1:6" x14ac:dyDescent="0.3">
      <c r="A333" s="1" t="s">
        <v>879</v>
      </c>
      <c r="B333" s="1" t="s">
        <v>880</v>
      </c>
      <c r="C333" s="1" t="s">
        <v>333</v>
      </c>
      <c r="D333" s="1" t="s">
        <v>334</v>
      </c>
      <c r="E333" s="1" t="s">
        <v>15</v>
      </c>
      <c r="F333" s="1" t="s">
        <v>1604</v>
      </c>
    </row>
    <row r="334" spans="1:6" x14ac:dyDescent="0.3">
      <c r="A334" s="1" t="s">
        <v>1075</v>
      </c>
      <c r="B334" s="1" t="s">
        <v>1077</v>
      </c>
      <c r="C334" s="1" t="s">
        <v>1078</v>
      </c>
      <c r="D334" s="1" t="s">
        <v>1079</v>
      </c>
      <c r="E334" s="1" t="s">
        <v>15</v>
      </c>
    </row>
    <row r="335" spans="1:6" x14ac:dyDescent="0.3">
      <c r="A335" s="1" t="s">
        <v>1041</v>
      </c>
      <c r="B335" s="1" t="s">
        <v>641</v>
      </c>
      <c r="C335" s="1" t="s">
        <v>642</v>
      </c>
      <c r="D335" s="1" t="s">
        <v>643</v>
      </c>
      <c r="E335" s="1" t="s">
        <v>15</v>
      </c>
      <c r="F335" s="1" t="s">
        <v>2775</v>
      </c>
    </row>
    <row r="336" spans="1:6" x14ac:dyDescent="0.3">
      <c r="A336" s="1" t="s">
        <v>989</v>
      </c>
      <c r="B336" s="1" t="s">
        <v>1278</v>
      </c>
      <c r="C336" s="1" t="s">
        <v>1249</v>
      </c>
      <c r="E336" s="1" t="s">
        <v>15</v>
      </c>
      <c r="F336" s="1" t="s">
        <v>1548</v>
      </c>
    </row>
    <row r="337" spans="1:6" x14ac:dyDescent="0.3">
      <c r="A337" s="1" t="s">
        <v>853</v>
      </c>
      <c r="B337" s="1" t="s">
        <v>1259</v>
      </c>
      <c r="C337" s="1" t="s">
        <v>1260</v>
      </c>
      <c r="E337" s="1" t="s">
        <v>15</v>
      </c>
      <c r="F337" s="1" t="s">
        <v>1538</v>
      </c>
    </row>
    <row r="338" spans="1:6" x14ac:dyDescent="0.3">
      <c r="A338" s="1" t="s">
        <v>1037</v>
      </c>
      <c r="B338" s="1" t="s">
        <v>1268</v>
      </c>
      <c r="C338" s="1" t="s">
        <v>1269</v>
      </c>
      <c r="E338" s="1" t="s">
        <v>15</v>
      </c>
      <c r="F338" s="1" t="s">
        <v>1542</v>
      </c>
    </row>
    <row r="339" spans="1:6" x14ac:dyDescent="0.3">
      <c r="A339" s="1" t="s">
        <v>952</v>
      </c>
      <c r="B339" s="1" t="s">
        <v>1298</v>
      </c>
      <c r="C339" s="1" t="s">
        <v>1299</v>
      </c>
      <c r="E339" s="1" t="s">
        <v>15</v>
      </c>
      <c r="F339" s="1" t="s">
        <v>1560</v>
      </c>
    </row>
    <row r="340" spans="1:6" x14ac:dyDescent="0.3">
      <c r="A340" s="1" t="s">
        <v>1009</v>
      </c>
      <c r="B340" s="1" t="s">
        <v>1302</v>
      </c>
      <c r="C340" s="1" t="s">
        <v>1303</v>
      </c>
      <c r="E340" s="1" t="s">
        <v>15</v>
      </c>
      <c r="F340" s="1" t="s">
        <v>1562</v>
      </c>
    </row>
    <row r="341" spans="1:6" x14ac:dyDescent="0.3">
      <c r="A341" s="1" t="s">
        <v>829</v>
      </c>
      <c r="B341" s="1" t="s">
        <v>1261</v>
      </c>
      <c r="C341" s="1" t="s">
        <v>1262</v>
      </c>
      <c r="E341" s="1" t="s">
        <v>15</v>
      </c>
      <c r="F341" s="1" t="s">
        <v>1539</v>
      </c>
    </row>
    <row r="342" spans="1:6" x14ac:dyDescent="0.3">
      <c r="A342" s="1" t="s">
        <v>1147</v>
      </c>
      <c r="B342" s="1" t="s">
        <v>1148</v>
      </c>
      <c r="C342" s="1" t="s">
        <v>383</v>
      </c>
      <c r="D342" s="1" t="s">
        <v>384</v>
      </c>
      <c r="E342" s="1" t="s">
        <v>15</v>
      </c>
      <c r="F342" s="1" t="s">
        <v>2796</v>
      </c>
    </row>
    <row r="343" spans="1:6" x14ac:dyDescent="0.3">
      <c r="A343" s="1" t="s">
        <v>852</v>
      </c>
      <c r="B343" s="1" t="s">
        <v>854</v>
      </c>
      <c r="C343" s="1" t="s">
        <v>245</v>
      </c>
      <c r="D343" s="1" t="s">
        <v>855</v>
      </c>
      <c r="E343" s="1" t="s">
        <v>15</v>
      </c>
      <c r="F343" s="1" t="s">
        <v>2797</v>
      </c>
    </row>
    <row r="344" spans="1:6" x14ac:dyDescent="0.3">
      <c r="A344" s="1" t="s">
        <v>936</v>
      </c>
      <c r="B344" s="1" t="s">
        <v>937</v>
      </c>
      <c r="C344" s="1" t="s">
        <v>238</v>
      </c>
      <c r="D344" s="1" t="s">
        <v>325</v>
      </c>
      <c r="E344" s="1" t="s">
        <v>15</v>
      </c>
      <c r="F344" s="1" t="s">
        <v>2798</v>
      </c>
    </row>
    <row r="345" spans="1:6" x14ac:dyDescent="0.3">
      <c r="A345" s="2" t="s">
        <v>191</v>
      </c>
      <c r="B345" s="1" t="s">
        <v>12</v>
      </c>
      <c r="C345" s="1" t="s">
        <v>13</v>
      </c>
      <c r="D345" s="1" t="s">
        <v>14</v>
      </c>
      <c r="E345" s="1" t="s">
        <v>15</v>
      </c>
      <c r="F345" s="1" t="s">
        <v>16</v>
      </c>
    </row>
    <row r="346" spans="1:6" x14ac:dyDescent="0.3">
      <c r="A346" s="1" t="s">
        <v>833</v>
      </c>
      <c r="B346" s="1" t="s">
        <v>1360</v>
      </c>
      <c r="C346" s="1" t="s">
        <v>1276</v>
      </c>
      <c r="E346" s="1" t="s">
        <v>15</v>
      </c>
      <c r="F346" s="1" t="s">
        <v>1590</v>
      </c>
    </row>
    <row r="347" spans="1:6" x14ac:dyDescent="0.3">
      <c r="A347" s="1" t="s">
        <v>1664</v>
      </c>
      <c r="B347" s="1" t="s">
        <v>1436</v>
      </c>
      <c r="C347" s="1" t="s">
        <v>1437</v>
      </c>
      <c r="E347" s="1" t="s">
        <v>15</v>
      </c>
      <c r="F347" s="1" t="s">
        <v>1635</v>
      </c>
    </row>
    <row r="348" spans="1:6" x14ac:dyDescent="0.3">
      <c r="A348" s="1" t="s">
        <v>1150</v>
      </c>
      <c r="B348" s="1" t="s">
        <v>1483</v>
      </c>
      <c r="C348" s="1" t="s">
        <v>1303</v>
      </c>
      <c r="E348" s="1" t="s">
        <v>15</v>
      </c>
      <c r="F348" s="1" t="s">
        <v>1661</v>
      </c>
    </row>
    <row r="349" spans="1:6" x14ac:dyDescent="0.3">
      <c r="A349" s="1" t="s">
        <v>1071</v>
      </c>
      <c r="B349" s="1" t="s">
        <v>679</v>
      </c>
      <c r="C349" s="1" t="s">
        <v>680</v>
      </c>
      <c r="D349" s="1" t="s">
        <v>681</v>
      </c>
      <c r="E349" s="1" t="s">
        <v>15</v>
      </c>
    </row>
    <row r="350" spans="1:6" x14ac:dyDescent="0.3">
      <c r="A350" s="1" t="s">
        <v>860</v>
      </c>
      <c r="B350" s="1" t="s">
        <v>861</v>
      </c>
      <c r="C350" s="1" t="s">
        <v>1264</v>
      </c>
      <c r="E350" s="1" t="s">
        <v>15</v>
      </c>
      <c r="F350" s="1" t="s">
        <v>1587</v>
      </c>
    </row>
    <row r="351" spans="1:6" x14ac:dyDescent="0.3">
      <c r="A351" s="1" t="s">
        <v>1462</v>
      </c>
      <c r="B351" s="1" t="s">
        <v>1463</v>
      </c>
      <c r="C351" s="1" t="s">
        <v>1212</v>
      </c>
      <c r="E351" s="1" t="s">
        <v>15</v>
      </c>
      <c r="F351" s="1" t="s">
        <v>1651</v>
      </c>
    </row>
    <row r="352" spans="1:6" x14ac:dyDescent="0.3">
      <c r="A352" s="1" t="s">
        <v>1352</v>
      </c>
      <c r="B352" s="1" t="s">
        <v>1353</v>
      </c>
      <c r="C352" s="1" t="s">
        <v>1345</v>
      </c>
      <c r="E352" s="1" t="s">
        <v>15</v>
      </c>
      <c r="F352" s="1" t="s">
        <v>1585</v>
      </c>
    </row>
    <row r="353" spans="1:6" x14ac:dyDescent="0.3">
      <c r="A353" s="1" t="s">
        <v>1667</v>
      </c>
      <c r="B353" s="1" t="s">
        <v>1383</v>
      </c>
      <c r="C353" s="1" t="s">
        <v>1370</v>
      </c>
      <c r="E353" s="1" t="s">
        <v>15</v>
      </c>
      <c r="F353" s="1" t="s">
        <v>1604</v>
      </c>
    </row>
    <row r="354" spans="1:6" x14ac:dyDescent="0.3">
      <c r="A354" s="1" t="s">
        <v>1014</v>
      </c>
      <c r="B354" s="1" t="s">
        <v>1455</v>
      </c>
      <c r="C354" s="1" t="s">
        <v>1291</v>
      </c>
      <c r="E354" s="1" t="s">
        <v>15</v>
      </c>
      <c r="F354" s="1" t="s">
        <v>1647</v>
      </c>
    </row>
    <row r="355" spans="1:6" x14ac:dyDescent="0.3">
      <c r="A355" s="1" t="s">
        <v>1096</v>
      </c>
      <c r="B355" s="1" t="s">
        <v>1432</v>
      </c>
      <c r="C355" s="1" t="s">
        <v>1433</v>
      </c>
      <c r="E355" s="1" t="s">
        <v>15</v>
      </c>
      <c r="F355" s="1" t="s">
        <v>1633</v>
      </c>
    </row>
    <row r="356" spans="1:6" x14ac:dyDescent="0.3">
      <c r="A356" s="1" t="s">
        <v>1316</v>
      </c>
      <c r="B356" s="1" t="s">
        <v>1317</v>
      </c>
      <c r="C356" s="1" t="s">
        <v>1318</v>
      </c>
      <c r="E356" s="1" t="s">
        <v>15</v>
      </c>
      <c r="F356" s="1" t="s">
        <v>1570</v>
      </c>
    </row>
    <row r="357" spans="1:6" x14ac:dyDescent="0.3">
      <c r="A357" s="1" t="s">
        <v>1051</v>
      </c>
      <c r="B357" s="1" t="s">
        <v>1052</v>
      </c>
      <c r="C357" s="1" t="s">
        <v>1053</v>
      </c>
      <c r="D357" s="1" t="s">
        <v>1054</v>
      </c>
      <c r="E357" s="1" t="s">
        <v>15</v>
      </c>
      <c r="F357" s="1" t="s">
        <v>2828</v>
      </c>
    </row>
    <row r="358" spans="1:6" x14ac:dyDescent="0.3">
      <c r="A358" s="1" t="s">
        <v>1459</v>
      </c>
      <c r="B358" s="1" t="s">
        <v>1460</v>
      </c>
      <c r="C358" s="1" t="s">
        <v>1461</v>
      </c>
      <c r="E358" s="1" t="s">
        <v>15</v>
      </c>
      <c r="F358" s="1" t="s">
        <v>1650</v>
      </c>
    </row>
    <row r="359" spans="1:6" x14ac:dyDescent="0.3">
      <c r="A359" s="1" t="s">
        <v>863</v>
      </c>
      <c r="B359" s="1" t="s">
        <v>1363</v>
      </c>
      <c r="C359" s="1" t="s">
        <v>1364</v>
      </c>
      <c r="E359" s="1" t="s">
        <v>15</v>
      </c>
      <c r="F359" s="1" t="s">
        <v>1592</v>
      </c>
    </row>
    <row r="360" spans="1:6" x14ac:dyDescent="0.3">
      <c r="A360" s="1" t="s">
        <v>196</v>
      </c>
      <c r="B360" s="1" t="s">
        <v>103</v>
      </c>
      <c r="C360" s="1" t="s">
        <v>102</v>
      </c>
      <c r="E360" s="1" t="s">
        <v>15</v>
      </c>
      <c r="F360" s="1" t="s">
        <v>104</v>
      </c>
    </row>
    <row r="361" spans="1:6" x14ac:dyDescent="0.3">
      <c r="A361" s="1" t="s">
        <v>1143</v>
      </c>
      <c r="B361" s="1" t="s">
        <v>1144</v>
      </c>
      <c r="C361" s="1" t="s">
        <v>1145</v>
      </c>
      <c r="D361" s="1" t="s">
        <v>1146</v>
      </c>
      <c r="E361" s="1" t="s">
        <v>15</v>
      </c>
      <c r="F361" s="1" t="s">
        <v>2829</v>
      </c>
    </row>
    <row r="362" spans="1:6" x14ac:dyDescent="0.3">
      <c r="A362" s="1" t="s">
        <v>839</v>
      </c>
      <c r="B362" s="1" t="s">
        <v>840</v>
      </c>
      <c r="C362" s="1" t="s">
        <v>827</v>
      </c>
      <c r="D362" s="1" t="s">
        <v>827</v>
      </c>
      <c r="E362" s="1" t="s">
        <v>15</v>
      </c>
    </row>
    <row r="363" spans="1:6" x14ac:dyDescent="0.3">
      <c r="A363" s="1" t="s">
        <v>1466</v>
      </c>
      <c r="B363" s="1" t="s">
        <v>1467</v>
      </c>
      <c r="E363" s="1" t="s">
        <v>15</v>
      </c>
    </row>
    <row r="364" spans="1:6" x14ac:dyDescent="0.3">
      <c r="A364" s="1" t="s">
        <v>938</v>
      </c>
      <c r="B364" s="1" t="s">
        <v>939</v>
      </c>
      <c r="C364" s="1" t="s">
        <v>940</v>
      </c>
      <c r="D364" s="1" t="s">
        <v>941</v>
      </c>
      <c r="E364" s="1" t="s">
        <v>15</v>
      </c>
      <c r="F364" s="1" t="s">
        <v>2830</v>
      </c>
    </row>
    <row r="365" spans="1:6" x14ac:dyDescent="0.3">
      <c r="A365" s="1" t="s">
        <v>1834</v>
      </c>
      <c r="B365" s="1" t="s">
        <v>1024</v>
      </c>
      <c r="C365" s="1" t="s">
        <v>519</v>
      </c>
      <c r="D365" s="1" t="s">
        <v>520</v>
      </c>
      <c r="E365" s="1" t="s">
        <v>24</v>
      </c>
      <c r="F365" s="3" t="s">
        <v>2696</v>
      </c>
    </row>
    <row r="366" spans="1:6" x14ac:dyDescent="0.3">
      <c r="A366" s="1" t="s">
        <v>1840</v>
      </c>
      <c r="B366" s="1" t="s">
        <v>960</v>
      </c>
      <c r="C366" s="1" t="s">
        <v>961</v>
      </c>
      <c r="D366" s="1" t="s">
        <v>962</v>
      </c>
      <c r="E366" s="1" t="s">
        <v>24</v>
      </c>
      <c r="F366" s="3" t="s">
        <v>2697</v>
      </c>
    </row>
    <row r="367" spans="1:6" x14ac:dyDescent="0.3">
      <c r="A367" s="1" t="s">
        <v>64</v>
      </c>
      <c r="B367" s="1" t="s">
        <v>65</v>
      </c>
      <c r="C367" s="1" t="s">
        <v>66</v>
      </c>
      <c r="D367" s="1" t="s">
        <v>67</v>
      </c>
      <c r="E367" s="1" t="s">
        <v>24</v>
      </c>
      <c r="F367" s="1" t="s">
        <v>68</v>
      </c>
    </row>
    <row r="368" spans="1:6" x14ac:dyDescent="0.3">
      <c r="A368" s="1" t="s">
        <v>948</v>
      </c>
      <c r="B368" s="1" t="s">
        <v>949</v>
      </c>
      <c r="C368" s="1" t="s">
        <v>361</v>
      </c>
      <c r="D368" s="1" t="s">
        <v>361</v>
      </c>
      <c r="E368" s="1" t="s">
        <v>24</v>
      </c>
      <c r="F368" s="1" t="s">
        <v>1541</v>
      </c>
    </row>
    <row r="369" spans="1:6" x14ac:dyDescent="0.3">
      <c r="A369" s="1" t="s">
        <v>1022</v>
      </c>
      <c r="B369" s="1" t="s">
        <v>1023</v>
      </c>
      <c r="C369" s="1" t="s">
        <v>242</v>
      </c>
      <c r="D369" s="1" t="s">
        <v>457</v>
      </c>
      <c r="E369" s="1" t="s">
        <v>24</v>
      </c>
      <c r="F369" s="1" t="s">
        <v>2699</v>
      </c>
    </row>
    <row r="370" spans="1:6" x14ac:dyDescent="0.3">
      <c r="A370" s="1" t="s">
        <v>867</v>
      </c>
      <c r="B370" s="1" t="s">
        <v>868</v>
      </c>
      <c r="C370" s="1" t="s">
        <v>869</v>
      </c>
      <c r="D370" s="1" t="s">
        <v>870</v>
      </c>
      <c r="E370" s="1" t="s">
        <v>24</v>
      </c>
      <c r="F370" s="1" t="s">
        <v>2700</v>
      </c>
    </row>
    <row r="371" spans="1:6" x14ac:dyDescent="0.3">
      <c r="A371" s="1" t="s">
        <v>1133</v>
      </c>
      <c r="B371" s="1" t="s">
        <v>1134</v>
      </c>
      <c r="C371" s="1" t="s">
        <v>915</v>
      </c>
      <c r="D371" s="1" t="s">
        <v>916</v>
      </c>
      <c r="E371" s="1" t="s">
        <v>24</v>
      </c>
      <c r="F371" s="1" t="s">
        <v>2701</v>
      </c>
    </row>
    <row r="372" spans="1:6" x14ac:dyDescent="0.3">
      <c r="A372" s="1" t="s">
        <v>963</v>
      </c>
      <c r="B372" s="1" t="s">
        <v>964</v>
      </c>
      <c r="C372" s="1" t="s">
        <v>445</v>
      </c>
      <c r="D372" s="1" t="s">
        <v>446</v>
      </c>
      <c r="E372" s="1" t="s">
        <v>24</v>
      </c>
      <c r="F372" s="1" t="s">
        <v>2705</v>
      </c>
    </row>
    <row r="373" spans="1:6" x14ac:dyDescent="0.3">
      <c r="A373" s="1" t="s">
        <v>1109</v>
      </c>
      <c r="B373" s="1" t="s">
        <v>1110</v>
      </c>
      <c r="C373" s="1" t="s">
        <v>665</v>
      </c>
      <c r="D373" s="1" t="s">
        <v>666</v>
      </c>
      <c r="E373" s="1" t="s">
        <v>24</v>
      </c>
      <c r="F373" s="1" t="s">
        <v>2706</v>
      </c>
    </row>
    <row r="374" spans="1:6" x14ac:dyDescent="0.3">
      <c r="A374" s="1" t="s">
        <v>1118</v>
      </c>
      <c r="B374" s="1" t="s">
        <v>1119</v>
      </c>
      <c r="C374" s="1" t="s">
        <v>1120</v>
      </c>
      <c r="D374" s="1" t="s">
        <v>1121</v>
      </c>
      <c r="E374" s="1" t="s">
        <v>24</v>
      </c>
      <c r="F374" s="1" t="s">
        <v>2707</v>
      </c>
    </row>
    <row r="375" spans="1:6" x14ac:dyDescent="0.3">
      <c r="A375" s="1" t="s">
        <v>1091</v>
      </c>
      <c r="B375" s="1" t="s">
        <v>1092</v>
      </c>
      <c r="C375" s="1" t="s">
        <v>673</v>
      </c>
      <c r="D375" s="1" t="s">
        <v>674</v>
      </c>
      <c r="E375" s="1" t="s">
        <v>24</v>
      </c>
      <c r="F375" s="1" t="s">
        <v>2708</v>
      </c>
    </row>
    <row r="376" spans="1:6" x14ac:dyDescent="0.3">
      <c r="A376" s="1" t="s">
        <v>900</v>
      </c>
      <c r="B376" s="1" t="s">
        <v>901</v>
      </c>
      <c r="C376" s="1" t="s">
        <v>242</v>
      </c>
      <c r="D376" s="1" t="s">
        <v>457</v>
      </c>
      <c r="E376" s="1" t="s">
        <v>24</v>
      </c>
      <c r="F376" s="1" t="s">
        <v>2709</v>
      </c>
    </row>
    <row r="377" spans="1:6" x14ac:dyDescent="0.3">
      <c r="A377" s="1" t="s">
        <v>965</v>
      </c>
      <c r="B377" s="1" t="s">
        <v>967</v>
      </c>
      <c r="C377" s="1" t="s">
        <v>968</v>
      </c>
      <c r="D377" s="1" t="s">
        <v>969</v>
      </c>
      <c r="E377" s="1" t="s">
        <v>24</v>
      </c>
      <c r="F377" s="1" t="s">
        <v>2710</v>
      </c>
    </row>
    <row r="378" spans="1:6" x14ac:dyDescent="0.3">
      <c r="A378" s="1" t="s">
        <v>996</v>
      </c>
      <c r="B378" s="1" t="s">
        <v>744</v>
      </c>
      <c r="C378" s="1" t="s">
        <v>445</v>
      </c>
      <c r="D378" s="1" t="s">
        <v>446</v>
      </c>
      <c r="E378" s="1" t="s">
        <v>24</v>
      </c>
      <c r="F378" s="1" t="s">
        <v>1540</v>
      </c>
    </row>
    <row r="379" spans="1:6" x14ac:dyDescent="0.3">
      <c r="A379" s="1" t="s">
        <v>1127</v>
      </c>
      <c r="B379" s="1" t="s">
        <v>923</v>
      </c>
      <c r="C379" s="1" t="s">
        <v>248</v>
      </c>
      <c r="D379" s="1" t="s">
        <v>786</v>
      </c>
      <c r="E379" s="1" t="s">
        <v>24</v>
      </c>
      <c r="F379" s="1" t="s">
        <v>2713</v>
      </c>
    </row>
    <row r="380" spans="1:6" x14ac:dyDescent="0.3">
      <c r="A380" s="1" t="s">
        <v>871</v>
      </c>
      <c r="B380" s="1" t="s">
        <v>873</v>
      </c>
      <c r="C380" s="1" t="s">
        <v>445</v>
      </c>
      <c r="D380" s="1" t="s">
        <v>446</v>
      </c>
      <c r="E380" s="1" t="s">
        <v>24</v>
      </c>
      <c r="F380" s="1" t="s">
        <v>1547</v>
      </c>
    </row>
    <row r="381" spans="1:6" x14ac:dyDescent="0.3">
      <c r="A381" s="1" t="s">
        <v>883</v>
      </c>
      <c r="B381" s="1" t="s">
        <v>884</v>
      </c>
      <c r="C381" s="1" t="s">
        <v>885</v>
      </c>
      <c r="D381" s="1" t="s">
        <v>886</v>
      </c>
      <c r="E381" s="1" t="s">
        <v>24</v>
      </c>
      <c r="F381" s="1" t="s">
        <v>2715</v>
      </c>
    </row>
    <row r="382" spans="1:6" x14ac:dyDescent="0.3">
      <c r="A382" s="1" t="s">
        <v>909</v>
      </c>
      <c r="B382" s="1" t="s">
        <v>910</v>
      </c>
      <c r="C382" s="1" t="s">
        <v>911</v>
      </c>
      <c r="D382" s="1" t="s">
        <v>912</v>
      </c>
      <c r="E382" s="1" t="s">
        <v>24</v>
      </c>
      <c r="F382" s="1" t="s">
        <v>1565</v>
      </c>
    </row>
    <row r="383" spans="1:6" x14ac:dyDescent="0.3">
      <c r="A383" s="1" t="s">
        <v>970</v>
      </c>
      <c r="B383" s="1" t="s">
        <v>971</v>
      </c>
      <c r="C383" s="1" t="s">
        <v>521</v>
      </c>
      <c r="D383" s="1" t="s">
        <v>522</v>
      </c>
      <c r="E383" s="1" t="s">
        <v>24</v>
      </c>
      <c r="F383" s="1" t="s">
        <v>1518</v>
      </c>
    </row>
    <row r="384" spans="1:6" x14ac:dyDescent="0.3">
      <c r="A384" s="1" t="s">
        <v>917</v>
      </c>
      <c r="B384" s="1" t="s">
        <v>918</v>
      </c>
      <c r="C384" s="1" t="s">
        <v>919</v>
      </c>
      <c r="D384" s="1" t="s">
        <v>920</v>
      </c>
      <c r="E384" s="1" t="s">
        <v>24</v>
      </c>
      <c r="F384" s="1" t="s">
        <v>2717</v>
      </c>
    </row>
    <row r="385" spans="1:6" x14ac:dyDescent="0.3">
      <c r="A385" s="1" t="s">
        <v>835</v>
      </c>
      <c r="B385" s="1" t="s">
        <v>836</v>
      </c>
      <c r="C385" s="1" t="s">
        <v>837</v>
      </c>
      <c r="D385" s="1" t="s">
        <v>838</v>
      </c>
      <c r="E385" s="1" t="s">
        <v>24</v>
      </c>
    </row>
    <row r="386" spans="1:6" x14ac:dyDescent="0.3">
      <c r="A386" s="1" t="s">
        <v>892</v>
      </c>
      <c r="B386" s="1" t="s">
        <v>419</v>
      </c>
      <c r="C386" s="1" t="s">
        <v>893</v>
      </c>
      <c r="D386" s="1" t="s">
        <v>894</v>
      </c>
      <c r="E386" s="1" t="s">
        <v>24</v>
      </c>
      <c r="F386" s="1" t="s">
        <v>2718</v>
      </c>
    </row>
    <row r="387" spans="1:6" x14ac:dyDescent="0.3">
      <c r="A387" s="1" t="s">
        <v>1042</v>
      </c>
      <c r="B387" s="1" t="s">
        <v>1043</v>
      </c>
      <c r="C387" s="1" t="s">
        <v>1044</v>
      </c>
      <c r="D387" s="1" t="s">
        <v>1045</v>
      </c>
      <c r="E387" s="1" t="s">
        <v>24</v>
      </c>
      <c r="F387" s="1" t="s">
        <v>2721</v>
      </c>
    </row>
    <row r="388" spans="1:6" x14ac:dyDescent="0.3">
      <c r="A388" s="1" t="s">
        <v>856</v>
      </c>
      <c r="B388" s="1" t="s">
        <v>858</v>
      </c>
      <c r="C388" s="1" t="s">
        <v>254</v>
      </c>
      <c r="D388" s="1" t="s">
        <v>255</v>
      </c>
      <c r="E388" s="1" t="s">
        <v>24</v>
      </c>
      <c r="F388" s="1" t="s">
        <v>2722</v>
      </c>
    </row>
    <row r="389" spans="1:6" x14ac:dyDescent="0.3">
      <c r="A389" s="1" t="s">
        <v>1067</v>
      </c>
      <c r="B389" s="1" t="s">
        <v>1068</v>
      </c>
      <c r="C389" s="1" t="s">
        <v>1069</v>
      </c>
      <c r="D389" s="1" t="s">
        <v>1070</v>
      </c>
      <c r="E389" s="1" t="s">
        <v>24</v>
      </c>
      <c r="F389" s="1" t="s">
        <v>2723</v>
      </c>
    </row>
    <row r="390" spans="1:6" x14ac:dyDescent="0.3">
      <c r="A390" s="1" t="s">
        <v>1135</v>
      </c>
      <c r="B390" s="1" t="s">
        <v>1137</v>
      </c>
      <c r="C390" s="1" t="s">
        <v>1138</v>
      </c>
      <c r="D390" s="1" t="s">
        <v>1139</v>
      </c>
      <c r="E390" s="1" t="s">
        <v>24</v>
      </c>
    </row>
    <row r="391" spans="1:6" x14ac:dyDescent="0.3">
      <c r="A391" s="1" t="s">
        <v>1206</v>
      </c>
      <c r="B391" s="1" t="s">
        <v>1207</v>
      </c>
      <c r="C391" s="1" t="s">
        <v>1208</v>
      </c>
      <c r="E391" s="1" t="s">
        <v>24</v>
      </c>
      <c r="F391" s="1" t="s">
        <v>1511</v>
      </c>
    </row>
    <row r="392" spans="1:6" x14ac:dyDescent="0.3">
      <c r="A392" s="1" t="s">
        <v>1245</v>
      </c>
      <c r="B392" s="1" t="s">
        <v>1246</v>
      </c>
      <c r="C392" s="1" t="s">
        <v>1247</v>
      </c>
      <c r="E392" s="1" t="s">
        <v>24</v>
      </c>
      <c r="F392" s="1" t="s">
        <v>1529</v>
      </c>
    </row>
    <row r="393" spans="1:6" x14ac:dyDescent="0.3">
      <c r="A393" s="1" t="s">
        <v>921</v>
      </c>
      <c r="B393" s="1" t="s">
        <v>922</v>
      </c>
      <c r="C393" s="1" t="s">
        <v>246</v>
      </c>
      <c r="D393" s="1" t="s">
        <v>375</v>
      </c>
      <c r="E393" s="1" t="s">
        <v>24</v>
      </c>
      <c r="F393" s="1" t="s">
        <v>2731</v>
      </c>
    </row>
    <row r="394" spans="1:6" x14ac:dyDescent="0.3">
      <c r="A394" s="1" t="s">
        <v>926</v>
      </c>
      <c r="B394" s="1" t="s">
        <v>928</v>
      </c>
      <c r="C394" s="1" t="s">
        <v>445</v>
      </c>
      <c r="D394" s="1" t="s">
        <v>446</v>
      </c>
      <c r="E394" s="1" t="s">
        <v>24</v>
      </c>
      <c r="F394" s="1" t="s">
        <v>1624</v>
      </c>
    </row>
    <row r="395" spans="1:6" x14ac:dyDescent="0.3">
      <c r="A395" s="1" t="s">
        <v>1115</v>
      </c>
      <c r="B395" s="1" t="s">
        <v>923</v>
      </c>
      <c r="C395" s="1" t="s">
        <v>248</v>
      </c>
      <c r="D395" s="1" t="s">
        <v>786</v>
      </c>
      <c r="E395" s="1" t="s">
        <v>24</v>
      </c>
      <c r="F395" s="1" t="s">
        <v>2732</v>
      </c>
    </row>
    <row r="396" spans="1:6" x14ac:dyDescent="0.3">
      <c r="A396" s="1" t="s">
        <v>929</v>
      </c>
      <c r="B396" s="1" t="s">
        <v>930</v>
      </c>
      <c r="C396" s="1" t="s">
        <v>242</v>
      </c>
      <c r="D396" s="1" t="s">
        <v>457</v>
      </c>
      <c r="E396" s="1" t="s">
        <v>24</v>
      </c>
      <c r="F396" s="1" t="s">
        <v>2733</v>
      </c>
    </row>
    <row r="397" spans="1:6" x14ac:dyDescent="0.3">
      <c r="A397" s="1" t="s">
        <v>913</v>
      </c>
      <c r="B397" s="1" t="s">
        <v>914</v>
      </c>
      <c r="C397" s="1" t="s">
        <v>915</v>
      </c>
      <c r="D397" s="1" t="s">
        <v>916</v>
      </c>
      <c r="E397" s="1" t="s">
        <v>24</v>
      </c>
      <c r="F397" s="1" t="s">
        <v>2739</v>
      </c>
    </row>
    <row r="398" spans="1:6" x14ac:dyDescent="0.3">
      <c r="A398" s="1" t="s">
        <v>986</v>
      </c>
      <c r="B398" s="1" t="s">
        <v>987</v>
      </c>
      <c r="C398" s="1" t="s">
        <v>491</v>
      </c>
      <c r="D398" s="1" t="s">
        <v>30</v>
      </c>
      <c r="E398" s="1" t="s">
        <v>24</v>
      </c>
      <c r="F398" s="1" t="s">
        <v>2740</v>
      </c>
    </row>
    <row r="399" spans="1:6" x14ac:dyDescent="0.3">
      <c r="A399" s="1" t="s">
        <v>889</v>
      </c>
      <c r="B399" s="1" t="s">
        <v>891</v>
      </c>
      <c r="C399" s="1" t="s">
        <v>361</v>
      </c>
      <c r="D399" s="1" t="s">
        <v>361</v>
      </c>
      <c r="E399" s="1" t="s">
        <v>24</v>
      </c>
      <c r="F399" s="1" t="s">
        <v>1610</v>
      </c>
    </row>
    <row r="400" spans="1:6" x14ac:dyDescent="0.3">
      <c r="A400" s="1" t="s">
        <v>824</v>
      </c>
      <c r="B400" s="1" t="s">
        <v>826</v>
      </c>
      <c r="C400" s="1" t="s">
        <v>827</v>
      </c>
      <c r="D400" s="1" t="s">
        <v>827</v>
      </c>
      <c r="E400" s="1" t="s">
        <v>24</v>
      </c>
    </row>
    <row r="401" spans="1:6" x14ac:dyDescent="0.3">
      <c r="A401" s="1" t="s">
        <v>991</v>
      </c>
      <c r="B401" s="1" t="s">
        <v>993</v>
      </c>
      <c r="C401" s="1" t="s">
        <v>994</v>
      </c>
      <c r="D401" s="1" t="s">
        <v>995</v>
      </c>
      <c r="E401" s="1" t="s">
        <v>24</v>
      </c>
      <c r="F401" s="1" t="s">
        <v>2749</v>
      </c>
    </row>
    <row r="402" spans="1:6" x14ac:dyDescent="0.3">
      <c r="A402" s="1" t="s">
        <v>1018</v>
      </c>
      <c r="B402" s="1" t="s">
        <v>1019</v>
      </c>
      <c r="C402" s="1" t="s">
        <v>1020</v>
      </c>
      <c r="D402" s="1" t="s">
        <v>1021</v>
      </c>
      <c r="E402" s="1" t="s">
        <v>24</v>
      </c>
      <c r="F402" s="1" t="s">
        <v>2750</v>
      </c>
    </row>
    <row r="403" spans="1:6" x14ac:dyDescent="0.3">
      <c r="A403" s="1" t="s">
        <v>982</v>
      </c>
      <c r="B403" s="1" t="s">
        <v>553</v>
      </c>
      <c r="C403" s="1" t="s">
        <v>984</v>
      </c>
      <c r="D403" s="1" t="s">
        <v>985</v>
      </c>
      <c r="E403" s="1" t="s">
        <v>24</v>
      </c>
      <c r="F403" s="1" t="s">
        <v>1636</v>
      </c>
    </row>
    <row r="404" spans="1:6" x14ac:dyDescent="0.3">
      <c r="A404" s="1" t="s">
        <v>1221</v>
      </c>
      <c r="B404" s="1" t="s">
        <v>1222</v>
      </c>
      <c r="C404" s="1" t="s">
        <v>1223</v>
      </c>
      <c r="E404" s="1" t="s">
        <v>24</v>
      </c>
      <c r="F404" s="1" t="s">
        <v>1518</v>
      </c>
    </row>
    <row r="405" spans="1:6" x14ac:dyDescent="0.3">
      <c r="A405" s="1" t="s">
        <v>1062</v>
      </c>
      <c r="B405" s="1" t="s">
        <v>1064</v>
      </c>
      <c r="C405" s="1" t="s">
        <v>1065</v>
      </c>
      <c r="D405" s="1" t="s">
        <v>1066</v>
      </c>
      <c r="E405" s="1" t="s">
        <v>24</v>
      </c>
      <c r="F405" s="1" t="s">
        <v>2761</v>
      </c>
    </row>
    <row r="406" spans="1:6" x14ac:dyDescent="0.3">
      <c r="A406" s="1" t="s">
        <v>1098</v>
      </c>
      <c r="B406" s="1" t="s">
        <v>1100</v>
      </c>
      <c r="C406" s="1" t="s">
        <v>759</v>
      </c>
      <c r="D406" s="1" t="s">
        <v>760</v>
      </c>
      <c r="E406" s="1" t="s">
        <v>24</v>
      </c>
      <c r="F406" s="1" t="s">
        <v>1551</v>
      </c>
    </row>
    <row r="407" spans="1:6" x14ac:dyDescent="0.3">
      <c r="A407" s="1" t="s">
        <v>906</v>
      </c>
      <c r="B407" s="1" t="s">
        <v>908</v>
      </c>
      <c r="C407" s="1" t="s">
        <v>308</v>
      </c>
      <c r="D407" s="1" t="s">
        <v>309</v>
      </c>
      <c r="E407" s="1" t="s">
        <v>24</v>
      </c>
    </row>
    <row r="408" spans="1:6" x14ac:dyDescent="0.3">
      <c r="A408" s="1" t="s">
        <v>1265</v>
      </c>
      <c r="B408" s="1" t="s">
        <v>1266</v>
      </c>
      <c r="C408" s="1" t="s">
        <v>1267</v>
      </c>
      <c r="E408" s="1" t="s">
        <v>24</v>
      </c>
      <c r="F408" s="1" t="s">
        <v>1541</v>
      </c>
    </row>
    <row r="409" spans="1:6" x14ac:dyDescent="0.3">
      <c r="A409" s="1" t="s">
        <v>997</v>
      </c>
      <c r="B409" s="1" t="s">
        <v>1263</v>
      </c>
      <c r="C409" s="1" t="s">
        <v>1264</v>
      </c>
      <c r="E409" s="1" t="s">
        <v>24</v>
      </c>
      <c r="F409" s="1" t="s">
        <v>1540</v>
      </c>
    </row>
    <row r="410" spans="1:6" x14ac:dyDescent="0.3">
      <c r="A410" s="1" t="s">
        <v>1034</v>
      </c>
      <c r="B410" s="1" t="s">
        <v>1035</v>
      </c>
      <c r="C410" s="1" t="s">
        <v>632</v>
      </c>
      <c r="D410" s="1" t="s">
        <v>633</v>
      </c>
      <c r="E410" s="1" t="s">
        <v>24</v>
      </c>
      <c r="F410" s="1" t="s">
        <v>2776</v>
      </c>
    </row>
    <row r="411" spans="1:6" x14ac:dyDescent="0.3">
      <c r="A411" s="1" t="s">
        <v>998</v>
      </c>
      <c r="B411" s="1" t="s">
        <v>999</v>
      </c>
      <c r="C411" s="1" t="s">
        <v>243</v>
      </c>
      <c r="D411" s="1" t="s">
        <v>1000</v>
      </c>
      <c r="E411" s="1" t="s">
        <v>24</v>
      </c>
      <c r="F411" s="1" t="s">
        <v>2777</v>
      </c>
    </row>
    <row r="412" spans="1:6" x14ac:dyDescent="0.3">
      <c r="A412" s="1" t="s">
        <v>1093</v>
      </c>
      <c r="B412" s="1" t="s">
        <v>1094</v>
      </c>
      <c r="C412" s="1" t="s">
        <v>746</v>
      </c>
      <c r="D412" s="1" t="s">
        <v>747</v>
      </c>
      <c r="E412" s="1" t="s">
        <v>24</v>
      </c>
      <c r="F412" s="1" t="s">
        <v>2778</v>
      </c>
    </row>
    <row r="413" spans="1:6" x14ac:dyDescent="0.3">
      <c r="A413" s="1" t="s">
        <v>881</v>
      </c>
      <c r="B413" s="1" t="s">
        <v>882</v>
      </c>
      <c r="C413" s="1" t="s">
        <v>445</v>
      </c>
      <c r="D413" s="1" t="s">
        <v>446</v>
      </c>
      <c r="E413" s="1" t="s">
        <v>24</v>
      </c>
      <c r="F413" s="1" t="s">
        <v>2779</v>
      </c>
    </row>
    <row r="414" spans="1:6" x14ac:dyDescent="0.3">
      <c r="A414" s="1" t="s">
        <v>1101</v>
      </c>
      <c r="B414" s="1" t="s">
        <v>1102</v>
      </c>
      <c r="C414" s="1" t="s">
        <v>1103</v>
      </c>
      <c r="D414" s="1" t="s">
        <v>1104</v>
      </c>
      <c r="E414" s="1" t="s">
        <v>24</v>
      </c>
      <c r="F414" s="1" t="s">
        <v>2780</v>
      </c>
    </row>
    <row r="415" spans="1:6" x14ac:dyDescent="0.3">
      <c r="A415" s="1" t="s">
        <v>1099</v>
      </c>
      <c r="B415" s="1" t="s">
        <v>1281</v>
      </c>
      <c r="C415" s="1" t="s">
        <v>1282</v>
      </c>
      <c r="E415" s="1" t="s">
        <v>24</v>
      </c>
      <c r="F415" s="1" t="s">
        <v>1551</v>
      </c>
    </row>
    <row r="416" spans="1:6" x14ac:dyDescent="0.3">
      <c r="A416" s="1" t="s">
        <v>1308</v>
      </c>
      <c r="B416" s="1" t="s">
        <v>1309</v>
      </c>
      <c r="C416" s="1" t="s">
        <v>1310</v>
      </c>
      <c r="E416" s="1" t="s">
        <v>24</v>
      </c>
      <c r="F416" s="1" t="s">
        <v>1565</v>
      </c>
    </row>
    <row r="417" spans="1:6" x14ac:dyDescent="0.3">
      <c r="A417" s="1" t="s">
        <v>1128</v>
      </c>
      <c r="B417" s="1" t="s">
        <v>1253</v>
      </c>
      <c r="C417" s="1" t="s">
        <v>1313</v>
      </c>
      <c r="E417" s="1" t="s">
        <v>24</v>
      </c>
      <c r="F417" s="1" t="s">
        <v>1569</v>
      </c>
    </row>
    <row r="418" spans="1:6" x14ac:dyDescent="0.3">
      <c r="A418" s="1" t="s">
        <v>1289</v>
      </c>
      <c r="B418" s="1" t="s">
        <v>1290</v>
      </c>
      <c r="C418" s="1" t="s">
        <v>1291</v>
      </c>
      <c r="E418" s="1" t="s">
        <v>24</v>
      </c>
      <c r="F418" s="1" t="s">
        <v>1556</v>
      </c>
    </row>
    <row r="419" spans="1:6" x14ac:dyDescent="0.3">
      <c r="A419" s="1" t="s">
        <v>872</v>
      </c>
      <c r="B419" s="1" t="s">
        <v>1277</v>
      </c>
      <c r="C419" s="1" t="s">
        <v>1264</v>
      </c>
      <c r="E419" s="1" t="s">
        <v>24</v>
      </c>
      <c r="F419" s="1" t="s">
        <v>1547</v>
      </c>
    </row>
    <row r="420" spans="1:6" x14ac:dyDescent="0.3">
      <c r="A420" s="1" t="s">
        <v>198</v>
      </c>
      <c r="B420" s="1" t="s">
        <v>28</v>
      </c>
      <c r="C420" s="1" t="s">
        <v>29</v>
      </c>
      <c r="D420" s="1" t="s">
        <v>30</v>
      </c>
      <c r="E420" s="1" t="s">
        <v>24</v>
      </c>
      <c r="F420" s="1" t="s">
        <v>197</v>
      </c>
    </row>
    <row r="421" spans="1:6" x14ac:dyDescent="0.3">
      <c r="A421" s="1" t="s">
        <v>1116</v>
      </c>
      <c r="B421" s="1" t="s">
        <v>1253</v>
      </c>
      <c r="C421" s="1" t="s">
        <v>1313</v>
      </c>
      <c r="E421" s="1" t="s">
        <v>24</v>
      </c>
      <c r="F421" s="1" t="s">
        <v>1567</v>
      </c>
    </row>
    <row r="422" spans="1:6" x14ac:dyDescent="0.3">
      <c r="A422" s="1" t="s">
        <v>1060</v>
      </c>
      <c r="B422" s="1" t="s">
        <v>1061</v>
      </c>
      <c r="C422" s="1" t="s">
        <v>411</v>
      </c>
      <c r="D422" s="1" t="s">
        <v>412</v>
      </c>
      <c r="E422" s="1" t="s">
        <v>24</v>
      </c>
      <c r="F422" s="1" t="s">
        <v>2799</v>
      </c>
    </row>
    <row r="423" spans="1:6" x14ac:dyDescent="0.3">
      <c r="A423" s="1" t="s">
        <v>907</v>
      </c>
      <c r="B423" s="1" t="s">
        <v>1427</v>
      </c>
      <c r="C423" s="1" t="s">
        <v>1372</v>
      </c>
      <c r="E423" s="1" t="s">
        <v>24</v>
      </c>
      <c r="F423" s="1" t="s">
        <v>1630</v>
      </c>
    </row>
    <row r="424" spans="1:6" x14ac:dyDescent="0.3">
      <c r="A424" s="1" t="s">
        <v>1375</v>
      </c>
      <c r="B424" s="1" t="s">
        <v>1376</v>
      </c>
      <c r="C424" s="1" t="s">
        <v>1044</v>
      </c>
      <c r="E424" s="1" t="s">
        <v>24</v>
      </c>
      <c r="F424" s="1" t="s">
        <v>1600</v>
      </c>
    </row>
    <row r="425" spans="1:6" x14ac:dyDescent="0.3">
      <c r="A425" s="1" t="s">
        <v>1047</v>
      </c>
      <c r="B425" s="1" t="s">
        <v>1387</v>
      </c>
      <c r="C425" s="1" t="s">
        <v>1388</v>
      </c>
      <c r="E425" s="1" t="s">
        <v>24</v>
      </c>
      <c r="F425" s="1" t="s">
        <v>1607</v>
      </c>
    </row>
    <row r="426" spans="1:6" x14ac:dyDescent="0.3">
      <c r="A426" s="1" t="s">
        <v>1136</v>
      </c>
      <c r="B426" s="1" t="s">
        <v>1417</v>
      </c>
      <c r="C426" s="1" t="s">
        <v>1418</v>
      </c>
      <c r="E426" s="1" t="s">
        <v>24</v>
      </c>
      <c r="F426" s="1" t="s">
        <v>1625</v>
      </c>
    </row>
    <row r="427" spans="1:6" x14ac:dyDescent="0.3">
      <c r="A427" s="1" t="s">
        <v>983</v>
      </c>
      <c r="B427" s="1" t="s">
        <v>1438</v>
      </c>
      <c r="C427" s="1" t="s">
        <v>1439</v>
      </c>
      <c r="E427" s="1" t="s">
        <v>24</v>
      </c>
      <c r="F427" s="1" t="s">
        <v>1636</v>
      </c>
    </row>
    <row r="428" spans="1:6" x14ac:dyDescent="0.3">
      <c r="A428" s="1" t="s">
        <v>1111</v>
      </c>
      <c r="B428" s="1" t="s">
        <v>679</v>
      </c>
      <c r="C428" s="1" t="s">
        <v>680</v>
      </c>
      <c r="D428" s="1" t="s">
        <v>681</v>
      </c>
      <c r="E428" s="1" t="s">
        <v>24</v>
      </c>
    </row>
    <row r="429" spans="1:6" x14ac:dyDescent="0.3">
      <c r="A429" s="1" t="s">
        <v>927</v>
      </c>
      <c r="B429" s="1" t="s">
        <v>1416</v>
      </c>
      <c r="C429" s="1" t="s">
        <v>1264</v>
      </c>
      <c r="E429" s="1" t="s">
        <v>24</v>
      </c>
      <c r="F429" s="1" t="s">
        <v>1624</v>
      </c>
    </row>
    <row r="430" spans="1:6" x14ac:dyDescent="0.3">
      <c r="A430" s="1" t="s">
        <v>1063</v>
      </c>
      <c r="B430" s="1" t="s">
        <v>1230</v>
      </c>
      <c r="C430" s="1" t="s">
        <v>1231</v>
      </c>
      <c r="E430" s="1" t="s">
        <v>24</v>
      </c>
      <c r="F430" s="1" t="s">
        <v>1522</v>
      </c>
    </row>
    <row r="431" spans="1:6" x14ac:dyDescent="0.3">
      <c r="A431" s="1" t="s">
        <v>825</v>
      </c>
      <c r="B431" s="1" t="s">
        <v>1344</v>
      </c>
      <c r="C431" s="1" t="s">
        <v>1345</v>
      </c>
      <c r="E431" s="1" t="s">
        <v>24</v>
      </c>
      <c r="F431" s="1" t="s">
        <v>1581</v>
      </c>
    </row>
    <row r="432" spans="1:6" x14ac:dyDescent="0.3">
      <c r="A432" s="1" t="s">
        <v>1026</v>
      </c>
      <c r="B432" s="1" t="s">
        <v>1338</v>
      </c>
      <c r="C432" s="1" t="s">
        <v>1339</v>
      </c>
      <c r="E432" s="1" t="s">
        <v>24</v>
      </c>
      <c r="F432" s="1" t="s">
        <v>1578</v>
      </c>
    </row>
    <row r="433" spans="1:6" x14ac:dyDescent="0.3">
      <c r="A433" s="1" t="s">
        <v>857</v>
      </c>
      <c r="B433" s="1" t="s">
        <v>1374</v>
      </c>
      <c r="C433" s="1" t="s">
        <v>1276</v>
      </c>
      <c r="E433" s="1" t="s">
        <v>24</v>
      </c>
      <c r="F433" s="1" t="s">
        <v>1599</v>
      </c>
    </row>
    <row r="434" spans="1:6" x14ac:dyDescent="0.3">
      <c r="A434" s="1" t="s">
        <v>992</v>
      </c>
      <c r="B434" s="1" t="s">
        <v>1398</v>
      </c>
      <c r="C434" s="1" t="s">
        <v>1399</v>
      </c>
      <c r="E434" s="1" t="s">
        <v>24</v>
      </c>
      <c r="F434" s="1" t="s">
        <v>1615</v>
      </c>
    </row>
    <row r="435" spans="1:6" x14ac:dyDescent="0.3">
      <c r="A435" s="1" t="s">
        <v>966</v>
      </c>
      <c r="B435" s="1" t="s">
        <v>1426</v>
      </c>
      <c r="E435" s="1" t="s">
        <v>24</v>
      </c>
      <c r="F435" s="1" t="s">
        <v>1629</v>
      </c>
    </row>
    <row r="436" spans="1:6" x14ac:dyDescent="0.3">
      <c r="A436" s="1" t="s">
        <v>973</v>
      </c>
      <c r="B436" s="1" t="s">
        <v>745</v>
      </c>
      <c r="C436" s="1" t="s">
        <v>1366</v>
      </c>
      <c r="E436" s="1" t="s">
        <v>24</v>
      </c>
      <c r="F436" s="1" t="s">
        <v>1594</v>
      </c>
    </row>
    <row r="437" spans="1:6" x14ac:dyDescent="0.3">
      <c r="A437" s="1" t="s">
        <v>1472</v>
      </c>
      <c r="B437" s="1" t="s">
        <v>1473</v>
      </c>
      <c r="C437" s="1" t="s">
        <v>1413</v>
      </c>
      <c r="E437" s="1" t="s">
        <v>24</v>
      </c>
      <c r="F437" s="1" t="s">
        <v>1656</v>
      </c>
    </row>
    <row r="438" spans="1:6" x14ac:dyDescent="0.3">
      <c r="A438" s="1" t="s">
        <v>1056</v>
      </c>
      <c r="B438" s="1" t="s">
        <v>1367</v>
      </c>
      <c r="C438" s="1" t="s">
        <v>1368</v>
      </c>
      <c r="E438" s="1" t="s">
        <v>24</v>
      </c>
      <c r="F438" s="1" t="s">
        <v>1595</v>
      </c>
    </row>
    <row r="439" spans="1:6" x14ac:dyDescent="0.3">
      <c r="A439" s="1" t="s">
        <v>1233</v>
      </c>
      <c r="B439" s="1" t="s">
        <v>1234</v>
      </c>
      <c r="C439" s="1" t="s">
        <v>1235</v>
      </c>
      <c r="E439" s="1" t="s">
        <v>24</v>
      </c>
    </row>
    <row r="440" spans="1:6" x14ac:dyDescent="0.3">
      <c r="A440" s="1" t="s">
        <v>890</v>
      </c>
      <c r="B440" s="1" t="s">
        <v>1392</v>
      </c>
      <c r="C440" s="1" t="s">
        <v>1267</v>
      </c>
      <c r="E440" s="1" t="s">
        <v>24</v>
      </c>
      <c r="F440" s="1" t="s">
        <v>1610</v>
      </c>
    </row>
    <row r="441" spans="1:6" x14ac:dyDescent="0.3">
      <c r="A441" s="1" t="s">
        <v>1011</v>
      </c>
      <c r="B441" s="1" t="s">
        <v>1012</v>
      </c>
      <c r="C441" s="1" t="s">
        <v>242</v>
      </c>
      <c r="D441" s="1" t="s">
        <v>457</v>
      </c>
      <c r="E441" s="1" t="s">
        <v>24</v>
      </c>
      <c r="F441" s="1" t="s">
        <v>2831</v>
      </c>
    </row>
    <row r="442" spans="1:6" x14ac:dyDescent="0.3">
      <c r="A442" s="1" t="s">
        <v>972</v>
      </c>
      <c r="B442" s="1" t="s">
        <v>745</v>
      </c>
      <c r="C442" s="1" t="s">
        <v>974</v>
      </c>
      <c r="D442" s="1" t="s">
        <v>975</v>
      </c>
      <c r="E442" s="1" t="s">
        <v>24</v>
      </c>
      <c r="F442" s="1" t="s">
        <v>1594</v>
      </c>
    </row>
    <row r="443" spans="1:6" x14ac:dyDescent="0.3">
      <c r="A443" s="1" t="s">
        <v>148</v>
      </c>
      <c r="B443" s="1" t="s">
        <v>149</v>
      </c>
      <c r="E443" s="1" t="s">
        <v>24</v>
      </c>
    </row>
    <row r="444" spans="1:6" x14ac:dyDescent="0.3">
      <c r="A444" s="1" t="s">
        <v>1055</v>
      </c>
      <c r="B444" s="1" t="s">
        <v>1057</v>
      </c>
      <c r="C444" s="1" t="s">
        <v>1058</v>
      </c>
      <c r="D444" s="1" t="s">
        <v>1059</v>
      </c>
      <c r="E444" s="1" t="s">
        <v>24</v>
      </c>
      <c r="F444" s="1" t="s">
        <v>1595</v>
      </c>
    </row>
    <row r="445" spans="1:6" x14ac:dyDescent="0.3">
      <c r="A445" s="1" t="s">
        <v>1129</v>
      </c>
      <c r="B445" s="1" t="s">
        <v>1130</v>
      </c>
      <c r="C445" s="1" t="s">
        <v>1131</v>
      </c>
      <c r="D445" s="1" t="s">
        <v>1132</v>
      </c>
      <c r="E445" s="1" t="s">
        <v>24</v>
      </c>
      <c r="F445" s="1" t="s">
        <v>2832</v>
      </c>
    </row>
    <row r="446" spans="1:6" x14ac:dyDescent="0.3">
      <c r="A446" s="1" t="s">
        <v>1025</v>
      </c>
      <c r="B446" s="1" t="s">
        <v>1027</v>
      </c>
      <c r="C446" s="1" t="s">
        <v>1028</v>
      </c>
      <c r="D446" s="1" t="s">
        <v>1029</v>
      </c>
      <c r="E446" s="1" t="s">
        <v>24</v>
      </c>
    </row>
    <row r="447" spans="1:6" x14ac:dyDescent="0.3">
      <c r="A447" s="1" t="s">
        <v>1046</v>
      </c>
      <c r="B447" s="1" t="s">
        <v>1048</v>
      </c>
      <c r="C447" s="1" t="s">
        <v>1049</v>
      </c>
      <c r="D447" s="1" t="s">
        <v>1050</v>
      </c>
      <c r="E447" s="1" t="s">
        <v>24</v>
      </c>
    </row>
    <row r="448" spans="1:6" x14ac:dyDescent="0.3">
      <c r="A448" s="1" t="s">
        <v>144</v>
      </c>
      <c r="C448" s="1" t="s">
        <v>145</v>
      </c>
      <c r="E448" s="1" t="s">
        <v>24</v>
      </c>
      <c r="F448" s="1" t="s">
        <v>146</v>
      </c>
    </row>
    <row r="449" spans="1:6" x14ac:dyDescent="0.3">
      <c r="A449" s="1" t="s">
        <v>174</v>
      </c>
      <c r="B449" s="1" t="s">
        <v>126</v>
      </c>
      <c r="C449" s="1" t="s">
        <v>173</v>
      </c>
      <c r="E449" s="1" t="s">
        <v>127</v>
      </c>
    </row>
    <row r="450" spans="1:6" x14ac:dyDescent="0.3">
      <c r="A450" s="1" t="s">
        <v>22</v>
      </c>
      <c r="B450" s="1" t="s">
        <v>147</v>
      </c>
      <c r="E450" s="1" t="s">
        <v>23</v>
      </c>
    </row>
    <row r="451" spans="1:6" ht="82.5" x14ac:dyDescent="0.3">
      <c r="A451" s="2" t="s">
        <v>153</v>
      </c>
      <c r="B451" s="1" t="s">
        <v>154</v>
      </c>
      <c r="C451" s="2" t="s">
        <v>152</v>
      </c>
      <c r="E451" s="1" t="s">
        <v>23</v>
      </c>
      <c r="F451" s="3" t="s">
        <v>155</v>
      </c>
    </row>
    <row r="452" spans="1:6" x14ac:dyDescent="0.3">
      <c r="A452" s="1" t="s">
        <v>200</v>
      </c>
      <c r="B452" s="1" t="s">
        <v>45</v>
      </c>
      <c r="C452" s="1" t="s">
        <v>46</v>
      </c>
      <c r="D452" s="1" t="s">
        <v>40</v>
      </c>
      <c r="E452" s="1" t="s">
        <v>23</v>
      </c>
      <c r="F452" s="1" t="s">
        <v>199</v>
      </c>
    </row>
    <row r="453" spans="1:6" x14ac:dyDescent="0.3">
      <c r="A453" s="1" t="s">
        <v>47</v>
      </c>
      <c r="B453" s="1" t="s">
        <v>48</v>
      </c>
      <c r="C453" s="1" t="s">
        <v>49</v>
      </c>
      <c r="E453" s="1" t="s">
        <v>23</v>
      </c>
      <c r="F453" s="1" t="s">
        <v>50</v>
      </c>
    </row>
    <row r="454" spans="1:6" x14ac:dyDescent="0.3">
      <c r="A454" s="1" t="s">
        <v>201</v>
      </c>
      <c r="B454" s="1" t="s">
        <v>51</v>
      </c>
      <c r="C454" s="1" t="s">
        <v>52</v>
      </c>
      <c r="D454" s="1" t="s">
        <v>53</v>
      </c>
      <c r="E454" s="1" t="s">
        <v>23</v>
      </c>
      <c r="F454" s="1" t="s">
        <v>54</v>
      </c>
    </row>
    <row r="455" spans="1:6" x14ac:dyDescent="0.3">
      <c r="A455" s="1" t="s">
        <v>202</v>
      </c>
      <c r="B455" s="1" t="s">
        <v>55</v>
      </c>
      <c r="C455" s="1" t="s">
        <v>56</v>
      </c>
      <c r="D455" s="1" t="s">
        <v>57</v>
      </c>
      <c r="E455" s="1" t="s">
        <v>23</v>
      </c>
      <c r="F455" s="1" t="s">
        <v>58</v>
      </c>
    </row>
    <row r="456" spans="1:6" x14ac:dyDescent="0.3">
      <c r="A456" s="1" t="s">
        <v>204</v>
      </c>
      <c r="B456" s="1" t="s">
        <v>80</v>
      </c>
      <c r="C456" s="1" t="s">
        <v>81</v>
      </c>
      <c r="E456" s="1" t="s">
        <v>23</v>
      </c>
      <c r="F456" s="1" t="s">
        <v>203</v>
      </c>
    </row>
    <row r="457" spans="1:6" x14ac:dyDescent="0.3">
      <c r="A457" s="1" t="s">
        <v>205</v>
      </c>
      <c r="B457" s="1" t="s">
        <v>87</v>
      </c>
      <c r="C457" s="1" t="s">
        <v>86</v>
      </c>
      <c r="D457" s="1" t="s">
        <v>88</v>
      </c>
      <c r="E457" s="1" t="s">
        <v>23</v>
      </c>
      <c r="F457" s="1" t="s">
        <v>89</v>
      </c>
    </row>
    <row r="458" spans="1:6" x14ac:dyDescent="0.3">
      <c r="A458" s="1" t="s">
        <v>219</v>
      </c>
      <c r="B458" s="1" t="s">
        <v>123</v>
      </c>
      <c r="C458" s="1" t="s">
        <v>220</v>
      </c>
      <c r="D458" s="1" t="s">
        <v>124</v>
      </c>
      <c r="E458" s="1" t="s">
        <v>23</v>
      </c>
      <c r="F458" s="1" t="s">
        <v>125</v>
      </c>
    </row>
    <row r="459" spans="1:6" x14ac:dyDescent="0.3">
      <c r="A459" s="1" t="s">
        <v>211</v>
      </c>
      <c r="B459" s="1" t="s">
        <v>212</v>
      </c>
      <c r="C459" s="1" t="s">
        <v>95</v>
      </c>
      <c r="E459" s="1" t="s">
        <v>23</v>
      </c>
      <c r="F459" s="1" t="s">
        <v>210</v>
      </c>
    </row>
    <row r="460" spans="1:6" x14ac:dyDescent="0.3">
      <c r="A460" s="1" t="s">
        <v>221</v>
      </c>
      <c r="B460" s="1" t="s">
        <v>222</v>
      </c>
      <c r="C460" s="1" t="s">
        <v>136</v>
      </c>
      <c r="E460" s="1" t="s">
        <v>23</v>
      </c>
      <c r="F460" s="1" t="s">
        <v>137</v>
      </c>
    </row>
    <row r="461" spans="1:6" x14ac:dyDescent="0.3">
      <c r="A461" s="1" t="s">
        <v>213</v>
      </c>
      <c r="B461" s="1" t="s">
        <v>214</v>
      </c>
      <c r="C461" s="1" t="s">
        <v>112</v>
      </c>
      <c r="D461" s="1" t="s">
        <v>113</v>
      </c>
      <c r="E461" s="1" t="s">
        <v>23</v>
      </c>
      <c r="F461" s="1" t="s">
        <v>114</v>
      </c>
    </row>
    <row r="462" spans="1:6" x14ac:dyDescent="0.3">
      <c r="A462" s="1" t="s">
        <v>215</v>
      </c>
      <c r="B462" s="1" t="s">
        <v>115</v>
      </c>
      <c r="C462" s="1" t="s">
        <v>116</v>
      </c>
      <c r="D462" s="1" t="s">
        <v>117</v>
      </c>
      <c r="E462" s="1" t="s">
        <v>23</v>
      </c>
      <c r="F462" s="1" t="s">
        <v>118</v>
      </c>
    </row>
    <row r="463" spans="1:6" x14ac:dyDescent="0.3">
      <c r="A463" s="1" t="s">
        <v>216</v>
      </c>
      <c r="B463" s="1" t="s">
        <v>119</v>
      </c>
      <c r="C463" s="1" t="s">
        <v>120</v>
      </c>
      <c r="E463" s="1" t="s">
        <v>23</v>
      </c>
      <c r="F463" s="1" t="s">
        <v>121</v>
      </c>
    </row>
    <row r="464" spans="1:6" x14ac:dyDescent="0.3">
      <c r="A464" s="1" t="s">
        <v>206</v>
      </c>
      <c r="B464" s="1" t="s">
        <v>207</v>
      </c>
      <c r="C464" s="1" t="s">
        <v>209</v>
      </c>
      <c r="D464" s="1" t="s">
        <v>208</v>
      </c>
      <c r="E464" s="1" t="s">
        <v>23</v>
      </c>
      <c r="F464" s="1" t="s">
        <v>90</v>
      </c>
    </row>
    <row r="465" spans="1:6" x14ac:dyDescent="0.3">
      <c r="A465" s="1" t="s">
        <v>217</v>
      </c>
      <c r="B465" s="1" t="s">
        <v>218</v>
      </c>
      <c r="C465" s="1" t="s">
        <v>120</v>
      </c>
      <c r="E465" s="1" t="s">
        <v>23</v>
      </c>
      <c r="F465" s="1" t="s">
        <v>122</v>
      </c>
    </row>
    <row r="466" spans="1:6" x14ac:dyDescent="0.3">
      <c r="A466" s="1" t="s">
        <v>140</v>
      </c>
      <c r="B466" s="1" t="s">
        <v>189</v>
      </c>
      <c r="C466" s="1" t="s">
        <v>141</v>
      </c>
      <c r="E466" s="1" t="s">
        <v>23</v>
      </c>
      <c r="F466" s="1" t="s">
        <v>190</v>
      </c>
    </row>
    <row r="467" spans="1:6" x14ac:dyDescent="0.3">
      <c r="A467" s="1" t="s">
        <v>186</v>
      </c>
      <c r="B467" s="1" t="s">
        <v>188</v>
      </c>
      <c r="C467" s="1" t="s">
        <v>187</v>
      </c>
      <c r="E467" s="1" t="s">
        <v>23</v>
      </c>
    </row>
    <row r="468" spans="1:6" x14ac:dyDescent="0.3">
      <c r="A468" s="1" t="s">
        <v>1826</v>
      </c>
      <c r="C468" s="1" t="s">
        <v>1827</v>
      </c>
      <c r="E468" s="1" t="s">
        <v>23</v>
      </c>
    </row>
    <row r="469" spans="1:6" x14ac:dyDescent="0.3">
      <c r="A469" s="1" t="s">
        <v>224</v>
      </c>
      <c r="B469" s="1" t="s">
        <v>142</v>
      </c>
      <c r="C469" s="1" t="s">
        <v>226</v>
      </c>
      <c r="D469" s="1" t="s">
        <v>225</v>
      </c>
      <c r="E469" s="1" t="s">
        <v>32</v>
      </c>
      <c r="F469" s="1" t="s">
        <v>143</v>
      </c>
    </row>
    <row r="470" spans="1:6" x14ac:dyDescent="0.3">
      <c r="A470" s="1" t="s">
        <v>223</v>
      </c>
      <c r="B470" s="1" t="s">
        <v>35</v>
      </c>
      <c r="C470" s="1" t="s">
        <v>36</v>
      </c>
      <c r="E470" s="1" t="s">
        <v>32</v>
      </c>
      <c r="F470" s="1" t="s">
        <v>37</v>
      </c>
    </row>
    <row r="471" spans="1:6" x14ac:dyDescent="0.3">
      <c r="A471" s="1" t="s">
        <v>150</v>
      </c>
      <c r="B471" s="1" t="s">
        <v>151</v>
      </c>
      <c r="C471" s="1" t="s">
        <v>31</v>
      </c>
      <c r="E471" s="1" t="s">
        <v>32</v>
      </c>
    </row>
    <row r="472" spans="1:6" x14ac:dyDescent="0.3">
      <c r="A472" s="1" t="s">
        <v>75</v>
      </c>
      <c r="B472" s="1" t="s">
        <v>158</v>
      </c>
      <c r="E472" s="1" t="s">
        <v>32</v>
      </c>
    </row>
    <row r="473" spans="1:6" x14ac:dyDescent="0.3">
      <c r="A473" s="1" t="s">
        <v>70</v>
      </c>
      <c r="B473" s="1" t="s">
        <v>71</v>
      </c>
      <c r="C473" s="1" t="s">
        <v>72</v>
      </c>
      <c r="D473" s="1" t="s">
        <v>73</v>
      </c>
      <c r="E473" s="1" t="s">
        <v>32</v>
      </c>
      <c r="F473" s="1" t="s">
        <v>74</v>
      </c>
    </row>
    <row r="474" spans="1:6" x14ac:dyDescent="0.3">
      <c r="A474" s="1" t="s">
        <v>177</v>
      </c>
      <c r="B474" s="1" t="s">
        <v>178</v>
      </c>
      <c r="C474" s="1" t="s">
        <v>179</v>
      </c>
      <c r="D474" s="1" t="s">
        <v>180</v>
      </c>
      <c r="E474" s="1" t="s">
        <v>32</v>
      </c>
    </row>
    <row r="475" spans="1:6" x14ac:dyDescent="0.3">
      <c r="A475" s="1" t="s">
        <v>138</v>
      </c>
      <c r="B475" s="1" t="s">
        <v>184</v>
      </c>
      <c r="C475" s="1" t="s">
        <v>139</v>
      </c>
      <c r="D475" s="1" t="s">
        <v>185</v>
      </c>
      <c r="E475" s="1" t="s">
        <v>32</v>
      </c>
    </row>
    <row r="476" spans="1:6" x14ac:dyDescent="0.3">
      <c r="A476" s="1" t="s">
        <v>182</v>
      </c>
      <c r="B476" s="1" t="s">
        <v>183</v>
      </c>
      <c r="E476" s="1" t="s">
        <v>32</v>
      </c>
    </row>
    <row r="477" spans="1:6" x14ac:dyDescent="0.3">
      <c r="A477" s="1" t="s">
        <v>1811</v>
      </c>
      <c r="E477" s="1" t="s">
        <v>32</v>
      </c>
    </row>
    <row r="478" spans="1:6" x14ac:dyDescent="0.3">
      <c r="A478" s="1" t="s">
        <v>227</v>
      </c>
      <c r="B478" s="1" t="s">
        <v>17</v>
      </c>
      <c r="C478" s="1" t="s">
        <v>18</v>
      </c>
      <c r="D478" s="1" t="s">
        <v>19</v>
      </c>
      <c r="E478" s="1" t="s">
        <v>20</v>
      </c>
      <c r="F478" s="1" t="s">
        <v>21</v>
      </c>
    </row>
    <row r="479" spans="1:6" x14ac:dyDescent="0.3">
      <c r="A479" s="1" t="s">
        <v>175</v>
      </c>
      <c r="B479" s="1" t="s">
        <v>176</v>
      </c>
      <c r="E479" s="1" t="s">
        <v>20</v>
      </c>
    </row>
    <row r="480" spans="1:6" x14ac:dyDescent="0.3">
      <c r="A480" s="1" t="s">
        <v>228</v>
      </c>
      <c r="B480" s="1" t="s">
        <v>76</v>
      </c>
      <c r="C480" s="1" t="s">
        <v>77</v>
      </c>
      <c r="D480" s="1" t="s">
        <v>78</v>
      </c>
      <c r="E480" s="1" t="s">
        <v>20</v>
      </c>
      <c r="F480" s="1" t="s">
        <v>79</v>
      </c>
    </row>
    <row r="481" spans="1:6" ht="18" x14ac:dyDescent="0.3">
      <c r="A481" s="1" t="s">
        <v>156</v>
      </c>
      <c r="B481" s="1" t="s">
        <v>157</v>
      </c>
      <c r="E481" s="1" t="s">
        <v>20</v>
      </c>
    </row>
    <row r="482" spans="1:6" x14ac:dyDescent="0.3">
      <c r="A482" s="1" t="s">
        <v>108</v>
      </c>
      <c r="B482" s="1" t="s">
        <v>109</v>
      </c>
      <c r="C482" s="1" t="s">
        <v>110</v>
      </c>
      <c r="E482" s="1" t="s">
        <v>20</v>
      </c>
      <c r="F482" s="1" t="s">
        <v>111</v>
      </c>
    </row>
    <row r="483" spans="1:6" x14ac:dyDescent="0.3">
      <c r="A483" s="1" t="s">
        <v>165</v>
      </c>
      <c r="B483" s="1" t="s">
        <v>96</v>
      </c>
      <c r="C483" s="1" t="s">
        <v>97</v>
      </c>
      <c r="E483" s="1" t="s">
        <v>20</v>
      </c>
    </row>
    <row r="484" spans="1:6" x14ac:dyDescent="0.3">
      <c r="A484" s="1" t="s">
        <v>1805</v>
      </c>
      <c r="B484" s="1" t="s">
        <v>1806</v>
      </c>
      <c r="C484" s="1" t="s">
        <v>1807</v>
      </c>
      <c r="D484" s="1" t="s">
        <v>1799</v>
      </c>
      <c r="E484" s="1" t="s">
        <v>20</v>
      </c>
      <c r="F484" s="1" t="s">
        <v>1808</v>
      </c>
    </row>
    <row r="485" spans="1:6" x14ac:dyDescent="0.3">
      <c r="A485" s="1" t="s">
        <v>1812</v>
      </c>
      <c r="C485" s="1" t="s">
        <v>1813</v>
      </c>
      <c r="D485" s="1" t="s">
        <v>1804</v>
      </c>
      <c r="E485" s="1" t="s">
        <v>20</v>
      </c>
    </row>
    <row r="486" spans="1:6" x14ac:dyDescent="0.3">
      <c r="A486" s="1" t="s">
        <v>1815</v>
      </c>
      <c r="E486" s="1" t="s">
        <v>20</v>
      </c>
    </row>
    <row r="487" spans="1:6" x14ac:dyDescent="0.3">
      <c r="A487" s="1" t="s">
        <v>1816</v>
      </c>
      <c r="B487" s="1" t="s">
        <v>1817</v>
      </c>
      <c r="C487" s="1" t="s">
        <v>1818</v>
      </c>
      <c r="D487" s="1" t="s">
        <v>57</v>
      </c>
      <c r="E487" s="1" t="s">
        <v>20</v>
      </c>
      <c r="F487" s="1" t="s">
        <v>1819</v>
      </c>
    </row>
    <row r="488" spans="1:6" x14ac:dyDescent="0.3">
      <c r="A488" s="1" t="s">
        <v>1828</v>
      </c>
      <c r="B488" s="1" t="s">
        <v>1829</v>
      </c>
      <c r="D488" s="1" t="s">
        <v>78</v>
      </c>
      <c r="E488" s="1" t="s">
        <v>20</v>
      </c>
    </row>
    <row r="489" spans="1:6" x14ac:dyDescent="0.3">
      <c r="A489" s="1" t="s">
        <v>1830</v>
      </c>
      <c r="B489" s="1" t="s">
        <v>1831</v>
      </c>
      <c r="C489" s="1" t="s">
        <v>1832</v>
      </c>
      <c r="E489" s="1" t="s">
        <v>20</v>
      </c>
    </row>
    <row r="490" spans="1:6" x14ac:dyDescent="0.3">
      <c r="A490" t="s">
        <v>1670</v>
      </c>
      <c r="B490" t="s">
        <v>1722</v>
      </c>
      <c r="C490" t="s">
        <v>1763</v>
      </c>
      <c r="D490"/>
      <c r="E490">
        <v>2026</v>
      </c>
    </row>
    <row r="491" spans="1:6" x14ac:dyDescent="0.3">
      <c r="A491" t="s">
        <v>1671</v>
      </c>
      <c r="B491" t="s">
        <v>1723</v>
      </c>
      <c r="C491" t="s">
        <v>1764</v>
      </c>
      <c r="D491"/>
      <c r="E491">
        <v>2025</v>
      </c>
    </row>
    <row r="492" spans="1:6" x14ac:dyDescent="0.3">
      <c r="A492" t="s">
        <v>1672</v>
      </c>
      <c r="B492" t="s">
        <v>1724</v>
      </c>
      <c r="C492" t="s">
        <v>1765</v>
      </c>
      <c r="D492"/>
      <c r="E492">
        <v>2025</v>
      </c>
    </row>
    <row r="493" spans="1:6" x14ac:dyDescent="0.3">
      <c r="A493" s="1" t="s">
        <v>105</v>
      </c>
      <c r="B493" s="1" t="s">
        <v>106</v>
      </c>
      <c r="C493" s="1" t="s">
        <v>237</v>
      </c>
      <c r="D493" s="1" t="s">
        <v>236</v>
      </c>
      <c r="E493" s="1">
        <v>2025</v>
      </c>
      <c r="F493" s="1" t="s">
        <v>107</v>
      </c>
    </row>
    <row r="494" spans="1:6" x14ac:dyDescent="0.3">
      <c r="A494" t="s">
        <v>1679</v>
      </c>
      <c r="B494" t="s">
        <v>1731</v>
      </c>
      <c r="C494" t="s">
        <v>1772</v>
      </c>
      <c r="D494"/>
      <c r="E494">
        <v>2024</v>
      </c>
    </row>
    <row r="495" spans="1:6" x14ac:dyDescent="0.3">
      <c r="A495" t="s">
        <v>1680</v>
      </c>
      <c r="B495" t="s">
        <v>1732</v>
      </c>
      <c r="C495" t="s">
        <v>1773</v>
      </c>
      <c r="D495"/>
      <c r="E495">
        <v>2024</v>
      </c>
    </row>
    <row r="496" spans="1:6" x14ac:dyDescent="0.3">
      <c r="A496" t="s">
        <v>1681</v>
      </c>
      <c r="B496" t="s">
        <v>1733</v>
      </c>
      <c r="C496" t="s">
        <v>1774</v>
      </c>
      <c r="D496"/>
      <c r="E496">
        <v>2024</v>
      </c>
    </row>
    <row r="497" spans="1:6" x14ac:dyDescent="0.3">
      <c r="A497" t="s">
        <v>1674</v>
      </c>
      <c r="B497" t="s">
        <v>1726</v>
      </c>
      <c r="C497" t="s">
        <v>1768</v>
      </c>
      <c r="D497"/>
      <c r="E497">
        <v>2024</v>
      </c>
    </row>
    <row r="498" spans="1:6" x14ac:dyDescent="0.3">
      <c r="A498" t="s">
        <v>1678</v>
      </c>
      <c r="B498" t="s">
        <v>1730</v>
      </c>
      <c r="C498" t="s">
        <v>1771</v>
      </c>
      <c r="D498"/>
      <c r="E498">
        <v>2024</v>
      </c>
    </row>
    <row r="499" spans="1:6" x14ac:dyDescent="0.3">
      <c r="A499" t="s">
        <v>1675</v>
      </c>
      <c r="B499" t="s">
        <v>1727</v>
      </c>
      <c r="C499" t="s">
        <v>1769</v>
      </c>
      <c r="D499"/>
      <c r="E499">
        <v>2024</v>
      </c>
    </row>
    <row r="500" spans="1:6" x14ac:dyDescent="0.3">
      <c r="A500" t="s">
        <v>1673</v>
      </c>
      <c r="B500" t="s">
        <v>1725</v>
      </c>
      <c r="C500" t="s">
        <v>1767</v>
      </c>
      <c r="D500"/>
      <c r="E500">
        <v>2024</v>
      </c>
    </row>
    <row r="501" spans="1:6" x14ac:dyDescent="0.3">
      <c r="A501" t="s">
        <v>1677</v>
      </c>
      <c r="B501" t="s">
        <v>1729</v>
      </c>
      <c r="C501" t="s">
        <v>1155</v>
      </c>
      <c r="D501"/>
      <c r="E501">
        <v>2024</v>
      </c>
    </row>
    <row r="502" spans="1:6" x14ac:dyDescent="0.3">
      <c r="A502" t="s">
        <v>1676</v>
      </c>
      <c r="B502" t="s">
        <v>1728</v>
      </c>
      <c r="C502" t="s">
        <v>1770</v>
      </c>
      <c r="D502"/>
      <c r="E502">
        <v>2024</v>
      </c>
    </row>
    <row r="503" spans="1:6" x14ac:dyDescent="0.3">
      <c r="A503" s="1" t="s">
        <v>91</v>
      </c>
      <c r="B503" s="1" t="s">
        <v>230</v>
      </c>
      <c r="C503" s="1" t="s">
        <v>92</v>
      </c>
      <c r="D503" s="1" t="s">
        <v>93</v>
      </c>
      <c r="E503" s="1">
        <v>2024</v>
      </c>
      <c r="F503" s="1" t="s">
        <v>229</v>
      </c>
    </row>
    <row r="504" spans="1:6" x14ac:dyDescent="0.3">
      <c r="A504" t="s">
        <v>1684</v>
      </c>
      <c r="B504" t="s">
        <v>1736</v>
      </c>
      <c r="C504" t="s">
        <v>1777</v>
      </c>
      <c r="D504"/>
      <c r="E504">
        <v>2023</v>
      </c>
    </row>
    <row r="505" spans="1:6" x14ac:dyDescent="0.3">
      <c r="A505" t="s">
        <v>1685</v>
      </c>
      <c r="B505" t="s">
        <v>1737</v>
      </c>
      <c r="C505" t="s">
        <v>1763</v>
      </c>
      <c r="D505"/>
      <c r="E505">
        <v>2023</v>
      </c>
    </row>
    <row r="506" spans="1:6" x14ac:dyDescent="0.3">
      <c r="A506" t="s">
        <v>1686</v>
      </c>
      <c r="B506" t="s">
        <v>1738</v>
      </c>
      <c r="C506" t="s">
        <v>1772</v>
      </c>
      <c r="D506"/>
      <c r="E506">
        <v>2023</v>
      </c>
    </row>
    <row r="507" spans="1:6" x14ac:dyDescent="0.3">
      <c r="A507" s="1" t="s">
        <v>1845</v>
      </c>
      <c r="B507" s="1" t="s">
        <v>128</v>
      </c>
      <c r="C507" s="1" t="s">
        <v>129</v>
      </c>
      <c r="D507" s="1" t="s">
        <v>130</v>
      </c>
      <c r="E507" s="1">
        <v>2023</v>
      </c>
      <c r="F507" s="1" t="s">
        <v>131</v>
      </c>
    </row>
    <row r="508" spans="1:6" x14ac:dyDescent="0.3">
      <c r="A508" t="s">
        <v>1687</v>
      </c>
      <c r="B508" t="s">
        <v>1739</v>
      </c>
      <c r="C508" t="s">
        <v>1778</v>
      </c>
      <c r="D508"/>
      <c r="E508">
        <v>2023</v>
      </c>
    </row>
    <row r="509" spans="1:6" x14ac:dyDescent="0.3">
      <c r="A509" t="s">
        <v>1682</v>
      </c>
      <c r="B509" t="s">
        <v>1734</v>
      </c>
      <c r="C509" t="s">
        <v>1775</v>
      </c>
      <c r="D509"/>
      <c r="E509">
        <v>2023</v>
      </c>
    </row>
    <row r="510" spans="1:6" x14ac:dyDescent="0.3">
      <c r="A510" t="s">
        <v>1683</v>
      </c>
      <c r="B510" t="s">
        <v>1735</v>
      </c>
      <c r="C510" t="s">
        <v>1776</v>
      </c>
      <c r="D510"/>
      <c r="E510">
        <v>2023</v>
      </c>
    </row>
    <row r="511" spans="1:6" x14ac:dyDescent="0.3">
      <c r="A511" t="s">
        <v>1694</v>
      </c>
      <c r="B511" t="s">
        <v>1746</v>
      </c>
      <c r="C511" t="s">
        <v>1766</v>
      </c>
      <c r="D511"/>
      <c r="E511">
        <v>2022</v>
      </c>
    </row>
    <row r="512" spans="1:6" x14ac:dyDescent="0.3">
      <c r="A512" t="s">
        <v>1693</v>
      </c>
      <c r="B512" t="s">
        <v>1745</v>
      </c>
      <c r="C512" t="s">
        <v>1783</v>
      </c>
      <c r="D512"/>
      <c r="E512">
        <v>2022</v>
      </c>
    </row>
    <row r="513" spans="1:6" x14ac:dyDescent="0.3">
      <c r="A513" t="s">
        <v>1695</v>
      </c>
      <c r="B513" t="s">
        <v>1747</v>
      </c>
      <c r="C513" t="s">
        <v>1784</v>
      </c>
      <c r="D513"/>
      <c r="E513">
        <v>2022</v>
      </c>
    </row>
    <row r="514" spans="1:6" x14ac:dyDescent="0.3">
      <c r="A514" t="s">
        <v>1696</v>
      </c>
      <c r="B514" t="s">
        <v>1748</v>
      </c>
      <c r="C514" t="s">
        <v>1785</v>
      </c>
      <c r="D514"/>
      <c r="E514">
        <v>2022</v>
      </c>
    </row>
    <row r="515" spans="1:6" x14ac:dyDescent="0.3">
      <c r="A515" t="s">
        <v>1690</v>
      </c>
      <c r="B515" t="s">
        <v>1742</v>
      </c>
      <c r="C515" t="s">
        <v>1780</v>
      </c>
      <c r="D515"/>
      <c r="E515">
        <v>2022</v>
      </c>
    </row>
    <row r="516" spans="1:6" x14ac:dyDescent="0.3">
      <c r="A516" t="s">
        <v>1688</v>
      </c>
      <c r="B516" t="s">
        <v>1740</v>
      </c>
      <c r="C516" t="s">
        <v>1779</v>
      </c>
      <c r="D516"/>
      <c r="E516">
        <v>2022</v>
      </c>
    </row>
    <row r="517" spans="1:6" x14ac:dyDescent="0.3">
      <c r="A517" t="s">
        <v>1691</v>
      </c>
      <c r="B517" t="s">
        <v>1743</v>
      </c>
      <c r="C517" t="s">
        <v>1781</v>
      </c>
      <c r="D517"/>
      <c r="E517">
        <v>2022</v>
      </c>
    </row>
    <row r="518" spans="1:6" x14ac:dyDescent="0.3">
      <c r="A518" t="s">
        <v>1692</v>
      </c>
      <c r="B518" t="s">
        <v>1744</v>
      </c>
      <c r="C518" t="s">
        <v>1782</v>
      </c>
      <c r="D518"/>
      <c r="E518">
        <v>2022</v>
      </c>
    </row>
    <row r="519" spans="1:6" x14ac:dyDescent="0.3">
      <c r="A519" t="s">
        <v>1689</v>
      </c>
      <c r="B519" t="s">
        <v>1741</v>
      </c>
      <c r="C519" t="s">
        <v>1157</v>
      </c>
      <c r="D519"/>
      <c r="E519">
        <v>2022</v>
      </c>
    </row>
    <row r="520" spans="1:6" x14ac:dyDescent="0.3">
      <c r="A520" t="s">
        <v>1697</v>
      </c>
      <c r="B520" t="s">
        <v>1749</v>
      </c>
      <c r="C520" t="s">
        <v>1786</v>
      </c>
      <c r="D520"/>
      <c r="E520">
        <v>2022</v>
      </c>
    </row>
    <row r="521" spans="1:6" x14ac:dyDescent="0.3">
      <c r="A521" t="s">
        <v>1700</v>
      </c>
      <c r="B521" t="s">
        <v>1752</v>
      </c>
      <c r="C521" t="s">
        <v>1788</v>
      </c>
      <c r="D521"/>
      <c r="E521">
        <v>2021</v>
      </c>
    </row>
    <row r="522" spans="1:6" x14ac:dyDescent="0.3">
      <c r="A522" t="s">
        <v>1701</v>
      </c>
      <c r="B522" t="s">
        <v>1753</v>
      </c>
      <c r="C522" t="s">
        <v>1789</v>
      </c>
      <c r="D522"/>
      <c r="E522">
        <v>2021</v>
      </c>
    </row>
    <row r="523" spans="1:6" x14ac:dyDescent="0.3">
      <c r="A523" t="s">
        <v>1698</v>
      </c>
      <c r="B523" t="s">
        <v>1750</v>
      </c>
      <c r="C523" t="s">
        <v>1155</v>
      </c>
      <c r="D523"/>
      <c r="E523">
        <v>2021</v>
      </c>
    </row>
    <row r="524" spans="1:6" x14ac:dyDescent="0.3">
      <c r="A524" t="s">
        <v>1699</v>
      </c>
      <c r="B524" t="s">
        <v>1751</v>
      </c>
      <c r="C524" t="s">
        <v>1787</v>
      </c>
      <c r="D524"/>
      <c r="E524">
        <v>2021</v>
      </c>
    </row>
    <row r="525" spans="1:6" x14ac:dyDescent="0.3">
      <c r="A525" s="1" t="s">
        <v>94</v>
      </c>
      <c r="B525" s="1" t="s">
        <v>162</v>
      </c>
      <c r="C525" s="1" t="s">
        <v>163</v>
      </c>
      <c r="E525" s="1">
        <v>2021</v>
      </c>
      <c r="F525" s="1" t="s">
        <v>164</v>
      </c>
    </row>
    <row r="526" spans="1:6" x14ac:dyDescent="0.3">
      <c r="A526" t="s">
        <v>1835</v>
      </c>
      <c r="B526" t="s">
        <v>1757</v>
      </c>
      <c r="C526" t="s">
        <v>1792</v>
      </c>
      <c r="D526"/>
      <c r="E526">
        <v>2020</v>
      </c>
    </row>
    <row r="527" spans="1:6" x14ac:dyDescent="0.3">
      <c r="A527" t="s">
        <v>1705</v>
      </c>
      <c r="B527" t="s">
        <v>1758</v>
      </c>
      <c r="C527" t="s">
        <v>1793</v>
      </c>
      <c r="D527"/>
      <c r="E527">
        <v>2020</v>
      </c>
    </row>
    <row r="528" spans="1:6" x14ac:dyDescent="0.3">
      <c r="A528" t="s">
        <v>1706</v>
      </c>
      <c r="B528" t="s">
        <v>1759</v>
      </c>
      <c r="C528" t="s">
        <v>1794</v>
      </c>
      <c r="D528"/>
      <c r="E528">
        <v>2020</v>
      </c>
    </row>
    <row r="529" spans="1:6" x14ac:dyDescent="0.3">
      <c r="A529" t="s">
        <v>1707</v>
      </c>
      <c r="B529" t="s">
        <v>1760</v>
      </c>
      <c r="C529" t="s">
        <v>1795</v>
      </c>
      <c r="D529"/>
      <c r="E529">
        <v>2020</v>
      </c>
    </row>
    <row r="530" spans="1:6" x14ac:dyDescent="0.3">
      <c r="A530" t="s">
        <v>1708</v>
      </c>
      <c r="B530" t="s">
        <v>1761</v>
      </c>
      <c r="C530" t="s">
        <v>1796</v>
      </c>
      <c r="D530"/>
      <c r="E530">
        <v>2020</v>
      </c>
    </row>
    <row r="531" spans="1:6" x14ac:dyDescent="0.3">
      <c r="A531" t="s">
        <v>1703</v>
      </c>
      <c r="B531" t="s">
        <v>1755</v>
      </c>
      <c r="C531" t="s">
        <v>1791</v>
      </c>
      <c r="D531"/>
      <c r="E531">
        <v>2020</v>
      </c>
    </row>
    <row r="532" spans="1:6" x14ac:dyDescent="0.3">
      <c r="A532" t="s">
        <v>1702</v>
      </c>
      <c r="B532" t="s">
        <v>1754</v>
      </c>
      <c r="C532" t="s">
        <v>1790</v>
      </c>
      <c r="D532"/>
      <c r="E532">
        <v>2020</v>
      </c>
    </row>
    <row r="533" spans="1:6" x14ac:dyDescent="0.3">
      <c r="A533" t="s">
        <v>1709</v>
      </c>
      <c r="B533" t="s">
        <v>1762</v>
      </c>
      <c r="C533" t="s">
        <v>1797</v>
      </c>
      <c r="D533"/>
      <c r="E533">
        <v>2020</v>
      </c>
    </row>
    <row r="534" spans="1:6" x14ac:dyDescent="0.3">
      <c r="A534" t="s">
        <v>1704</v>
      </c>
      <c r="B534" t="s">
        <v>1756</v>
      </c>
      <c r="C534" t="s">
        <v>1155</v>
      </c>
      <c r="D534"/>
      <c r="E534">
        <v>2020</v>
      </c>
    </row>
    <row r="535" spans="1:6" x14ac:dyDescent="0.3">
      <c r="A535" s="1" t="s">
        <v>169</v>
      </c>
      <c r="B535" s="1" t="s">
        <v>170</v>
      </c>
      <c r="C535" s="1" t="s">
        <v>171</v>
      </c>
      <c r="E535" s="1">
        <v>2020</v>
      </c>
      <c r="F535" s="1" t="s">
        <v>172</v>
      </c>
    </row>
    <row r="536" spans="1:6" x14ac:dyDescent="0.3">
      <c r="A536" s="1" t="s">
        <v>159</v>
      </c>
      <c r="B536" s="1" t="s">
        <v>160</v>
      </c>
      <c r="C536" s="1" t="s">
        <v>161</v>
      </c>
      <c r="E536" s="1">
        <v>2018</v>
      </c>
    </row>
    <row r="537" spans="1:6" x14ac:dyDescent="0.3">
      <c r="A537" s="1" t="s">
        <v>233</v>
      </c>
      <c r="B537" s="1" t="s">
        <v>234</v>
      </c>
      <c r="C537" s="1" t="s">
        <v>235</v>
      </c>
      <c r="D537" s="1" t="s">
        <v>25</v>
      </c>
      <c r="E537" s="1">
        <v>2018</v>
      </c>
      <c r="F537" s="1" t="s">
        <v>85</v>
      </c>
    </row>
    <row r="538" spans="1:6" x14ac:dyDescent="0.3">
      <c r="A538" s="1" t="s">
        <v>232</v>
      </c>
      <c r="B538" s="1" t="s">
        <v>38</v>
      </c>
      <c r="C538" s="1" t="s">
        <v>39</v>
      </c>
      <c r="D538" s="1" t="s">
        <v>40</v>
      </c>
      <c r="E538" s="1">
        <v>2017</v>
      </c>
      <c r="F538" s="1" t="s">
        <v>231</v>
      </c>
    </row>
    <row r="539" spans="1:6" x14ac:dyDescent="0.3">
      <c r="A539" s="1" t="s">
        <v>1669</v>
      </c>
      <c r="B539" s="1" t="s">
        <v>181</v>
      </c>
      <c r="E539" s="1">
        <v>2017</v>
      </c>
    </row>
    <row r="540" spans="1:6" x14ac:dyDescent="0.3">
      <c r="A540" s="2" t="s">
        <v>166</v>
      </c>
      <c r="B540" s="1" t="s">
        <v>167</v>
      </c>
      <c r="C540" s="1" t="s">
        <v>168</v>
      </c>
      <c r="E540" s="1">
        <v>2017</v>
      </c>
    </row>
    <row r="541" spans="1:6" x14ac:dyDescent="0.3">
      <c r="A541" t="s">
        <v>1710</v>
      </c>
      <c r="B541"/>
      <c r="C541"/>
      <c r="D541"/>
      <c r="E541">
        <v>2017</v>
      </c>
    </row>
    <row r="542" spans="1:6" x14ac:dyDescent="0.3">
      <c r="A542"/>
      <c r="B542"/>
      <c r="C542"/>
      <c r="D542"/>
      <c r="E542"/>
      <c r="F542"/>
    </row>
    <row r="543" spans="1:6" x14ac:dyDescent="0.3">
      <c r="A543"/>
      <c r="B543"/>
      <c r="C543"/>
      <c r="D543"/>
      <c r="E543"/>
      <c r="F543"/>
    </row>
    <row r="544" spans="1:6" x14ac:dyDescent="0.3">
      <c r="A544"/>
      <c r="B544"/>
      <c r="C544"/>
      <c r="D544"/>
      <c r="E544"/>
      <c r="F544"/>
    </row>
    <row r="545" spans="1:6" x14ac:dyDescent="0.3">
      <c r="A545"/>
      <c r="B545"/>
      <c r="C545"/>
      <c r="D545"/>
      <c r="E545"/>
      <c r="F545"/>
    </row>
    <row r="546" spans="1:6" x14ac:dyDescent="0.3">
      <c r="A546"/>
      <c r="B546"/>
      <c r="C546"/>
      <c r="D546"/>
      <c r="E546"/>
      <c r="F546"/>
    </row>
    <row r="547" spans="1:6" x14ac:dyDescent="0.3">
      <c r="A547"/>
      <c r="B547"/>
      <c r="C547"/>
      <c r="D547"/>
      <c r="E547"/>
      <c r="F547"/>
    </row>
    <row r="548" spans="1:6" x14ac:dyDescent="0.3">
      <c r="A548"/>
      <c r="B548"/>
      <c r="C548"/>
      <c r="D548"/>
      <c r="E548"/>
      <c r="F548"/>
    </row>
    <row r="549" spans="1:6" x14ac:dyDescent="0.3">
      <c r="A549"/>
      <c r="B549"/>
      <c r="C549"/>
      <c r="D549"/>
      <c r="E549"/>
      <c r="F549"/>
    </row>
    <row r="550" spans="1:6" x14ac:dyDescent="0.3">
      <c r="A550"/>
      <c r="B550"/>
      <c r="C550"/>
      <c r="D550"/>
      <c r="E550"/>
      <c r="F550"/>
    </row>
    <row r="551" spans="1:6" x14ac:dyDescent="0.3">
      <c r="A551"/>
      <c r="B551"/>
      <c r="C551"/>
      <c r="D551"/>
      <c r="E551"/>
      <c r="F551"/>
    </row>
    <row r="552" spans="1:6" x14ac:dyDescent="0.3">
      <c r="A552"/>
      <c r="B552"/>
      <c r="C552"/>
      <c r="D552"/>
      <c r="E552"/>
      <c r="F552"/>
    </row>
    <row r="553" spans="1:6" x14ac:dyDescent="0.3">
      <c r="A553"/>
      <c r="B553"/>
      <c r="C553"/>
      <c r="D553"/>
      <c r="E553"/>
      <c r="F553"/>
    </row>
    <row r="554" spans="1:6" x14ac:dyDescent="0.3">
      <c r="A554"/>
      <c r="B554"/>
      <c r="C554"/>
      <c r="D554"/>
      <c r="E554"/>
      <c r="F554"/>
    </row>
    <row r="555" spans="1:6" x14ac:dyDescent="0.3">
      <c r="A555"/>
      <c r="B555"/>
      <c r="C555"/>
      <c r="D555"/>
      <c r="E555"/>
      <c r="F555"/>
    </row>
    <row r="556" spans="1:6" x14ac:dyDescent="0.3">
      <c r="A556"/>
      <c r="B556"/>
      <c r="C556"/>
      <c r="D556"/>
      <c r="E556"/>
      <c r="F556"/>
    </row>
    <row r="557" spans="1:6" x14ac:dyDescent="0.3">
      <c r="A557"/>
      <c r="B557"/>
      <c r="C557"/>
      <c r="D557"/>
      <c r="E557"/>
      <c r="F557"/>
    </row>
    <row r="558" spans="1:6" x14ac:dyDescent="0.3">
      <c r="A558"/>
      <c r="B558"/>
      <c r="C558"/>
      <c r="D558"/>
      <c r="E558"/>
      <c r="F558"/>
    </row>
    <row r="559" spans="1:6" x14ac:dyDescent="0.3">
      <c r="A559"/>
      <c r="B559"/>
      <c r="C559"/>
      <c r="D559"/>
      <c r="E559"/>
      <c r="F559"/>
    </row>
    <row r="560" spans="1:6" x14ac:dyDescent="0.3">
      <c r="A560"/>
      <c r="B560"/>
      <c r="C560"/>
      <c r="D560"/>
      <c r="E560"/>
      <c r="F560"/>
    </row>
    <row r="561" spans="1:6" x14ac:dyDescent="0.3">
      <c r="A561"/>
      <c r="B561"/>
      <c r="C561"/>
      <c r="D561"/>
      <c r="E561"/>
      <c r="F561"/>
    </row>
    <row r="562" spans="1:6" x14ac:dyDescent="0.3">
      <c r="A562"/>
      <c r="B562"/>
      <c r="C562"/>
      <c r="D562"/>
      <c r="E562"/>
      <c r="F562"/>
    </row>
    <row r="563" spans="1:6" x14ac:dyDescent="0.3">
      <c r="A563"/>
      <c r="B563"/>
      <c r="C563"/>
      <c r="D563"/>
      <c r="E563"/>
      <c r="F563"/>
    </row>
    <row r="564" spans="1:6" x14ac:dyDescent="0.3">
      <c r="A564"/>
      <c r="B564"/>
      <c r="C564"/>
      <c r="D564"/>
      <c r="E564"/>
      <c r="F564"/>
    </row>
    <row r="565" spans="1:6" x14ac:dyDescent="0.3">
      <c r="A565"/>
      <c r="B565"/>
      <c r="C565"/>
      <c r="D565"/>
      <c r="E565"/>
      <c r="F565"/>
    </row>
    <row r="566" spans="1:6" x14ac:dyDescent="0.3">
      <c r="A566"/>
      <c r="B566"/>
      <c r="C566"/>
      <c r="D566"/>
      <c r="E566"/>
      <c r="F566"/>
    </row>
    <row r="567" spans="1:6" x14ac:dyDescent="0.3">
      <c r="A567"/>
      <c r="B567"/>
      <c r="C567"/>
      <c r="D567"/>
      <c r="E567"/>
      <c r="F567"/>
    </row>
    <row r="568" spans="1:6" x14ac:dyDescent="0.3">
      <c r="A568"/>
      <c r="B568"/>
      <c r="C568"/>
      <c r="D568"/>
      <c r="E568"/>
      <c r="F568"/>
    </row>
    <row r="569" spans="1:6" x14ac:dyDescent="0.3">
      <c r="A569"/>
      <c r="B569"/>
      <c r="C569"/>
      <c r="D569"/>
      <c r="E569"/>
      <c r="F569"/>
    </row>
    <row r="570" spans="1:6" x14ac:dyDescent="0.3">
      <c r="A570"/>
      <c r="B570"/>
      <c r="C570"/>
      <c r="D570"/>
      <c r="E570"/>
      <c r="F570"/>
    </row>
    <row r="571" spans="1:6" x14ac:dyDescent="0.3">
      <c r="A571"/>
      <c r="B571"/>
      <c r="C571"/>
      <c r="D571"/>
      <c r="E571"/>
      <c r="F571"/>
    </row>
    <row r="572" spans="1:6" x14ac:dyDescent="0.3">
      <c r="A572"/>
      <c r="B572"/>
      <c r="C572"/>
      <c r="D572"/>
      <c r="E572"/>
      <c r="F572"/>
    </row>
    <row r="573" spans="1:6" x14ac:dyDescent="0.3">
      <c r="A573"/>
      <c r="B573"/>
      <c r="C573"/>
      <c r="D573"/>
      <c r="E573"/>
      <c r="F573"/>
    </row>
    <row r="574" spans="1:6" x14ac:dyDescent="0.3">
      <c r="A574"/>
      <c r="B574"/>
      <c r="C574"/>
      <c r="D574"/>
      <c r="E574"/>
      <c r="F574"/>
    </row>
    <row r="575" spans="1:6" x14ac:dyDescent="0.3">
      <c r="A575"/>
      <c r="B575"/>
      <c r="C575"/>
      <c r="D575"/>
      <c r="E575"/>
      <c r="F575"/>
    </row>
    <row r="576" spans="1:6" x14ac:dyDescent="0.3">
      <c r="A576"/>
      <c r="B576"/>
      <c r="C576"/>
      <c r="D576"/>
      <c r="E576"/>
      <c r="F576"/>
    </row>
    <row r="577" spans="1:6" x14ac:dyDescent="0.3">
      <c r="A577"/>
      <c r="B577"/>
      <c r="C577"/>
      <c r="D577"/>
      <c r="E577"/>
      <c r="F577"/>
    </row>
    <row r="578" spans="1:6" x14ac:dyDescent="0.3">
      <c r="A578"/>
      <c r="B578"/>
      <c r="C578"/>
      <c r="D578"/>
      <c r="E578"/>
      <c r="F578"/>
    </row>
    <row r="579" spans="1:6" x14ac:dyDescent="0.3">
      <c r="A579"/>
      <c r="B579"/>
      <c r="C579"/>
      <c r="D579"/>
      <c r="E579"/>
      <c r="F579"/>
    </row>
    <row r="580" spans="1:6" x14ac:dyDescent="0.3">
      <c r="A580"/>
      <c r="B580"/>
      <c r="C580"/>
      <c r="D580"/>
      <c r="E580"/>
      <c r="F580"/>
    </row>
    <row r="581" spans="1:6" x14ac:dyDescent="0.3">
      <c r="A581"/>
      <c r="B581"/>
      <c r="C581"/>
      <c r="D581"/>
      <c r="E581"/>
      <c r="F581"/>
    </row>
    <row r="582" spans="1:6" x14ac:dyDescent="0.3">
      <c r="A582"/>
      <c r="B582"/>
      <c r="C582"/>
      <c r="D582"/>
      <c r="E582"/>
      <c r="F582"/>
    </row>
    <row r="583" spans="1:6" x14ac:dyDescent="0.3">
      <c r="A583"/>
      <c r="B583"/>
      <c r="C583"/>
      <c r="D583"/>
      <c r="E583"/>
      <c r="F583"/>
    </row>
    <row r="584" spans="1:6" x14ac:dyDescent="0.3">
      <c r="A584"/>
      <c r="B584"/>
      <c r="C584"/>
      <c r="D584"/>
      <c r="E584"/>
      <c r="F584"/>
    </row>
    <row r="585" spans="1:6" x14ac:dyDescent="0.3">
      <c r="A585"/>
      <c r="B585"/>
      <c r="C585"/>
      <c r="D585"/>
      <c r="E585"/>
      <c r="F585"/>
    </row>
    <row r="586" spans="1:6" x14ac:dyDescent="0.3">
      <c r="A586"/>
      <c r="B586"/>
      <c r="C586"/>
      <c r="D586"/>
      <c r="E586"/>
      <c r="F586"/>
    </row>
    <row r="587" spans="1:6" x14ac:dyDescent="0.3">
      <c r="A587"/>
      <c r="B587"/>
      <c r="C587"/>
      <c r="D587"/>
      <c r="E587"/>
      <c r="F587"/>
    </row>
    <row r="588" spans="1:6" x14ac:dyDescent="0.3">
      <c r="A588"/>
      <c r="B588"/>
      <c r="C588"/>
      <c r="D588"/>
      <c r="E588"/>
      <c r="F588"/>
    </row>
    <row r="589" spans="1:6" x14ac:dyDescent="0.3">
      <c r="A589"/>
      <c r="B589"/>
      <c r="C589"/>
      <c r="D589"/>
      <c r="E589"/>
      <c r="F589"/>
    </row>
    <row r="590" spans="1:6" x14ac:dyDescent="0.3">
      <c r="A590"/>
      <c r="B590"/>
      <c r="C590"/>
      <c r="D590"/>
      <c r="E590"/>
      <c r="F590"/>
    </row>
    <row r="591" spans="1:6" x14ac:dyDescent="0.3">
      <c r="A591"/>
      <c r="B591"/>
      <c r="C591"/>
      <c r="D591"/>
      <c r="E591"/>
      <c r="F591"/>
    </row>
    <row r="592" spans="1:6" x14ac:dyDescent="0.3">
      <c r="A592"/>
      <c r="B592"/>
      <c r="C592"/>
      <c r="D592"/>
      <c r="E592"/>
      <c r="F592"/>
    </row>
    <row r="593" spans="1:6" x14ac:dyDescent="0.3">
      <c r="A593"/>
      <c r="B593"/>
      <c r="C593"/>
      <c r="D593"/>
      <c r="E593"/>
      <c r="F593"/>
    </row>
    <row r="594" spans="1:6" x14ac:dyDescent="0.3">
      <c r="A594"/>
      <c r="B594"/>
      <c r="C594"/>
      <c r="D594"/>
      <c r="E594"/>
      <c r="F594"/>
    </row>
    <row r="595" spans="1:6" x14ac:dyDescent="0.3">
      <c r="A595"/>
      <c r="B595"/>
      <c r="C595"/>
      <c r="D595"/>
      <c r="E595"/>
      <c r="F595"/>
    </row>
    <row r="596" spans="1:6" x14ac:dyDescent="0.3">
      <c r="A596"/>
      <c r="B596"/>
      <c r="C596"/>
      <c r="D596"/>
      <c r="E596"/>
      <c r="F596"/>
    </row>
    <row r="597" spans="1:6" x14ac:dyDescent="0.3">
      <c r="A597"/>
      <c r="B597"/>
      <c r="C597"/>
      <c r="D597"/>
      <c r="E597"/>
      <c r="F597"/>
    </row>
    <row r="598" spans="1:6" x14ac:dyDescent="0.3">
      <c r="A598"/>
      <c r="B598"/>
      <c r="C598"/>
      <c r="D598"/>
      <c r="E598"/>
      <c r="F598"/>
    </row>
    <row r="599" spans="1:6" x14ac:dyDescent="0.3">
      <c r="A599"/>
      <c r="B599"/>
      <c r="C599"/>
      <c r="D599"/>
      <c r="E599"/>
      <c r="F599"/>
    </row>
    <row r="600" spans="1:6" x14ac:dyDescent="0.3">
      <c r="A600"/>
      <c r="B600"/>
      <c r="C600"/>
      <c r="D600"/>
      <c r="E600"/>
      <c r="F600"/>
    </row>
    <row r="601" spans="1:6" x14ac:dyDescent="0.3">
      <c r="A601"/>
      <c r="B601"/>
      <c r="C601"/>
      <c r="D601"/>
      <c r="E601"/>
      <c r="F601"/>
    </row>
    <row r="602" spans="1:6" x14ac:dyDescent="0.3">
      <c r="A602"/>
      <c r="B602"/>
      <c r="C602"/>
      <c r="D602"/>
      <c r="E602"/>
      <c r="F602"/>
    </row>
    <row r="603" spans="1:6" x14ac:dyDescent="0.3">
      <c r="A603"/>
      <c r="B603"/>
      <c r="C603"/>
      <c r="D603"/>
      <c r="E603"/>
      <c r="F603"/>
    </row>
    <row r="604" spans="1:6" x14ac:dyDescent="0.3">
      <c r="A604"/>
      <c r="B604"/>
      <c r="C604"/>
      <c r="D604"/>
      <c r="E604"/>
      <c r="F604"/>
    </row>
    <row r="605" spans="1:6" x14ac:dyDescent="0.3">
      <c r="A605"/>
      <c r="B605"/>
      <c r="C605"/>
      <c r="D605"/>
      <c r="E605"/>
      <c r="F605"/>
    </row>
    <row r="606" spans="1:6" x14ac:dyDescent="0.3">
      <c r="A606"/>
      <c r="B606"/>
      <c r="C606"/>
      <c r="D606"/>
      <c r="E606"/>
      <c r="F606"/>
    </row>
    <row r="607" spans="1:6" x14ac:dyDescent="0.3">
      <c r="A607"/>
      <c r="B607"/>
      <c r="C607"/>
      <c r="D607"/>
      <c r="E607"/>
      <c r="F607"/>
    </row>
    <row r="608" spans="1:6" x14ac:dyDescent="0.3">
      <c r="A608"/>
      <c r="B608"/>
      <c r="C608"/>
      <c r="D608"/>
      <c r="E608"/>
      <c r="F608"/>
    </row>
    <row r="609" spans="1:6" x14ac:dyDescent="0.3">
      <c r="A609"/>
      <c r="B609"/>
      <c r="C609"/>
      <c r="D609"/>
      <c r="E609"/>
      <c r="F609"/>
    </row>
    <row r="610" spans="1:6" x14ac:dyDescent="0.3">
      <c r="A610"/>
      <c r="B610"/>
      <c r="C610"/>
      <c r="D610"/>
      <c r="E610"/>
      <c r="F610"/>
    </row>
    <row r="611" spans="1:6" x14ac:dyDescent="0.3">
      <c r="A611"/>
      <c r="B611"/>
      <c r="C611"/>
      <c r="D611"/>
      <c r="E611"/>
      <c r="F611"/>
    </row>
    <row r="612" spans="1:6" x14ac:dyDescent="0.3">
      <c r="A612"/>
      <c r="B612"/>
      <c r="C612"/>
      <c r="D612"/>
      <c r="E612"/>
      <c r="F612"/>
    </row>
    <row r="613" spans="1:6" x14ac:dyDescent="0.3">
      <c r="A613"/>
      <c r="B613"/>
      <c r="C613"/>
      <c r="D613"/>
      <c r="E613"/>
      <c r="F613"/>
    </row>
    <row r="614" spans="1:6" x14ac:dyDescent="0.3">
      <c r="A614"/>
      <c r="B614"/>
      <c r="C614"/>
      <c r="D614"/>
      <c r="E614"/>
      <c r="F614"/>
    </row>
    <row r="615" spans="1:6" x14ac:dyDescent="0.3">
      <c r="A615"/>
      <c r="B615"/>
      <c r="C615"/>
      <c r="D615"/>
      <c r="E615"/>
      <c r="F615"/>
    </row>
    <row r="616" spans="1:6" x14ac:dyDescent="0.3">
      <c r="A616"/>
      <c r="B616"/>
      <c r="C616"/>
      <c r="D616"/>
      <c r="E616"/>
      <c r="F616"/>
    </row>
    <row r="617" spans="1:6" x14ac:dyDescent="0.3">
      <c r="A617"/>
      <c r="B617"/>
      <c r="C617"/>
      <c r="D617"/>
      <c r="E617"/>
      <c r="F617"/>
    </row>
    <row r="618" spans="1:6" x14ac:dyDescent="0.3">
      <c r="A618"/>
      <c r="B618"/>
      <c r="C618"/>
      <c r="D618"/>
      <c r="E618"/>
      <c r="F618"/>
    </row>
    <row r="619" spans="1:6" x14ac:dyDescent="0.3">
      <c r="A619"/>
      <c r="B619"/>
      <c r="C619"/>
      <c r="D619"/>
      <c r="E619"/>
      <c r="F619"/>
    </row>
    <row r="620" spans="1:6" x14ac:dyDescent="0.3">
      <c r="A620"/>
      <c r="B620"/>
      <c r="C620"/>
      <c r="D620"/>
      <c r="E620"/>
      <c r="F620"/>
    </row>
    <row r="621" spans="1:6" x14ac:dyDescent="0.3">
      <c r="A621"/>
      <c r="B621"/>
      <c r="C621"/>
      <c r="D621"/>
      <c r="E621"/>
      <c r="F621"/>
    </row>
    <row r="622" spans="1:6" x14ac:dyDescent="0.3">
      <c r="A622"/>
      <c r="B622"/>
      <c r="C622"/>
      <c r="D622"/>
      <c r="E622"/>
      <c r="F622"/>
    </row>
    <row r="623" spans="1:6" x14ac:dyDescent="0.3">
      <c r="A623"/>
      <c r="B623"/>
      <c r="C623"/>
      <c r="D623"/>
      <c r="E623"/>
      <c r="F623"/>
    </row>
    <row r="624" spans="1:6" x14ac:dyDescent="0.3">
      <c r="A624"/>
      <c r="B624"/>
      <c r="C624"/>
      <c r="D624"/>
      <c r="E624"/>
      <c r="F624"/>
    </row>
    <row r="625" spans="1:6" x14ac:dyDescent="0.3">
      <c r="A625"/>
      <c r="B625"/>
      <c r="C625"/>
      <c r="D625"/>
      <c r="E625"/>
      <c r="F625"/>
    </row>
    <row r="626" spans="1:6" x14ac:dyDescent="0.3">
      <c r="A626"/>
      <c r="B626"/>
      <c r="C626"/>
      <c r="D626"/>
      <c r="E626"/>
      <c r="F626"/>
    </row>
    <row r="627" spans="1:6" x14ac:dyDescent="0.3">
      <c r="A627"/>
      <c r="B627"/>
      <c r="C627"/>
      <c r="D627"/>
      <c r="E627"/>
      <c r="F627"/>
    </row>
    <row r="628" spans="1:6" x14ac:dyDescent="0.3">
      <c r="A628"/>
      <c r="B628"/>
      <c r="C628"/>
      <c r="D628"/>
      <c r="E628"/>
      <c r="F628"/>
    </row>
    <row r="629" spans="1:6" x14ac:dyDescent="0.3">
      <c r="A629"/>
      <c r="B629"/>
      <c r="C629"/>
      <c r="D629"/>
      <c r="E629"/>
      <c r="F629"/>
    </row>
    <row r="630" spans="1:6" x14ac:dyDescent="0.3">
      <c r="A630"/>
      <c r="B630"/>
      <c r="C630"/>
      <c r="D630"/>
      <c r="E630"/>
      <c r="F630"/>
    </row>
    <row r="631" spans="1:6" x14ac:dyDescent="0.3">
      <c r="A631"/>
      <c r="B631"/>
      <c r="C631"/>
      <c r="D631"/>
      <c r="E631"/>
      <c r="F631"/>
    </row>
    <row r="632" spans="1:6" x14ac:dyDescent="0.3">
      <c r="A632"/>
      <c r="B632"/>
      <c r="C632"/>
      <c r="D632"/>
      <c r="E632"/>
      <c r="F632"/>
    </row>
    <row r="633" spans="1:6" x14ac:dyDescent="0.3">
      <c r="A633"/>
      <c r="B633"/>
      <c r="C633"/>
      <c r="D633"/>
      <c r="E633"/>
      <c r="F633"/>
    </row>
    <row r="634" spans="1:6" x14ac:dyDescent="0.3">
      <c r="A634"/>
      <c r="B634"/>
      <c r="C634"/>
      <c r="D634"/>
      <c r="E634"/>
      <c r="F634"/>
    </row>
    <row r="635" spans="1:6" x14ac:dyDescent="0.3">
      <c r="A635"/>
      <c r="B635"/>
      <c r="C635"/>
      <c r="D635"/>
      <c r="E635"/>
      <c r="F635"/>
    </row>
    <row r="636" spans="1:6" x14ac:dyDescent="0.3">
      <c r="A636"/>
      <c r="B636"/>
      <c r="C636"/>
      <c r="D636"/>
      <c r="E636"/>
      <c r="F636"/>
    </row>
    <row r="637" spans="1:6" x14ac:dyDescent="0.3">
      <c r="A637"/>
      <c r="B637"/>
      <c r="C637"/>
      <c r="D637"/>
      <c r="E637"/>
      <c r="F637"/>
    </row>
    <row r="638" spans="1:6" x14ac:dyDescent="0.3">
      <c r="A638"/>
      <c r="B638"/>
      <c r="C638"/>
      <c r="D638"/>
      <c r="E638"/>
      <c r="F638"/>
    </row>
    <row r="639" spans="1:6" x14ac:dyDescent="0.3">
      <c r="A639"/>
      <c r="B639"/>
      <c r="C639"/>
      <c r="D639"/>
      <c r="E639"/>
      <c r="F639"/>
    </row>
    <row r="640" spans="1:6" x14ac:dyDescent="0.3">
      <c r="A640"/>
      <c r="B640"/>
      <c r="C640"/>
      <c r="D640"/>
      <c r="E640"/>
      <c r="F640"/>
    </row>
    <row r="641" spans="1:6" x14ac:dyDescent="0.3">
      <c r="A641"/>
      <c r="B641"/>
      <c r="C641"/>
      <c r="D641"/>
      <c r="E641"/>
      <c r="F641"/>
    </row>
    <row r="642" spans="1:6" x14ac:dyDescent="0.3">
      <c r="A642"/>
      <c r="B642"/>
      <c r="C642"/>
      <c r="D642"/>
      <c r="E642"/>
      <c r="F642"/>
    </row>
    <row r="643" spans="1:6" x14ac:dyDescent="0.3">
      <c r="A643"/>
      <c r="B643"/>
      <c r="C643"/>
      <c r="D643"/>
      <c r="E643"/>
      <c r="F643"/>
    </row>
    <row r="644" spans="1:6" x14ac:dyDescent="0.3">
      <c r="A644"/>
      <c r="B644"/>
      <c r="C644"/>
      <c r="D644"/>
      <c r="E644"/>
      <c r="F644"/>
    </row>
    <row r="645" spans="1:6" x14ac:dyDescent="0.3">
      <c r="A645"/>
      <c r="B645"/>
      <c r="C645"/>
      <c r="D645"/>
      <c r="E645"/>
      <c r="F645"/>
    </row>
    <row r="646" spans="1:6" x14ac:dyDescent="0.3">
      <c r="A646"/>
      <c r="B646"/>
      <c r="C646"/>
      <c r="D646"/>
      <c r="E646"/>
      <c r="F646"/>
    </row>
    <row r="647" spans="1:6" x14ac:dyDescent="0.3">
      <c r="A647"/>
      <c r="B647"/>
      <c r="C647"/>
      <c r="D647"/>
      <c r="E647"/>
      <c r="F647"/>
    </row>
    <row r="648" spans="1:6" x14ac:dyDescent="0.3">
      <c r="A648"/>
      <c r="B648"/>
      <c r="C648"/>
      <c r="D648"/>
      <c r="E648"/>
      <c r="F648"/>
    </row>
    <row r="649" spans="1:6" x14ac:dyDescent="0.3">
      <c r="A649"/>
      <c r="B649"/>
      <c r="C649"/>
      <c r="D649"/>
      <c r="E649"/>
      <c r="F649"/>
    </row>
    <row r="650" spans="1:6" x14ac:dyDescent="0.3">
      <c r="A650"/>
      <c r="B650"/>
      <c r="C650"/>
      <c r="D650"/>
      <c r="E650"/>
      <c r="F650"/>
    </row>
    <row r="651" spans="1:6" x14ac:dyDescent="0.3">
      <c r="A651"/>
      <c r="B651"/>
      <c r="C651"/>
      <c r="D651"/>
      <c r="E651"/>
      <c r="F651"/>
    </row>
    <row r="652" spans="1:6" x14ac:dyDescent="0.3">
      <c r="A652"/>
      <c r="B652"/>
      <c r="C652"/>
      <c r="D652"/>
      <c r="E652"/>
      <c r="F652"/>
    </row>
    <row r="653" spans="1:6" x14ac:dyDescent="0.3">
      <c r="A653"/>
      <c r="B653"/>
      <c r="C653"/>
      <c r="D653"/>
      <c r="E653"/>
      <c r="F653"/>
    </row>
    <row r="654" spans="1:6" x14ac:dyDescent="0.3">
      <c r="A654"/>
      <c r="B654"/>
      <c r="C654"/>
      <c r="D654"/>
      <c r="E654"/>
      <c r="F654"/>
    </row>
    <row r="655" spans="1:6" x14ac:dyDescent="0.3">
      <c r="A655"/>
      <c r="B655"/>
      <c r="C655"/>
      <c r="D655"/>
      <c r="E655"/>
      <c r="F655"/>
    </row>
    <row r="656" spans="1:6" x14ac:dyDescent="0.3">
      <c r="A656"/>
      <c r="B656"/>
      <c r="C656"/>
      <c r="D656"/>
      <c r="E656"/>
      <c r="F656"/>
    </row>
    <row r="657" spans="1:6" x14ac:dyDescent="0.3">
      <c r="A657"/>
      <c r="B657"/>
      <c r="C657"/>
      <c r="D657"/>
      <c r="E657"/>
      <c r="F657"/>
    </row>
    <row r="658" spans="1:6" x14ac:dyDescent="0.3">
      <c r="A658"/>
      <c r="B658"/>
      <c r="C658"/>
      <c r="D658"/>
      <c r="E658"/>
      <c r="F658"/>
    </row>
    <row r="659" spans="1:6" x14ac:dyDescent="0.3">
      <c r="A659"/>
      <c r="B659"/>
      <c r="C659"/>
      <c r="D659"/>
      <c r="E659"/>
      <c r="F659"/>
    </row>
    <row r="660" spans="1:6" x14ac:dyDescent="0.3">
      <c r="A660"/>
      <c r="B660"/>
      <c r="C660"/>
      <c r="D660"/>
      <c r="E660"/>
      <c r="F660"/>
    </row>
    <row r="661" spans="1:6" x14ac:dyDescent="0.3">
      <c r="A661"/>
      <c r="B661"/>
      <c r="C661"/>
      <c r="D661"/>
      <c r="E661"/>
      <c r="F661"/>
    </row>
    <row r="662" spans="1:6" x14ac:dyDescent="0.3">
      <c r="A662"/>
      <c r="B662"/>
      <c r="C662"/>
      <c r="D662"/>
      <c r="E662"/>
      <c r="F662"/>
    </row>
    <row r="663" spans="1:6" x14ac:dyDescent="0.3">
      <c r="A663"/>
      <c r="B663"/>
      <c r="C663"/>
      <c r="D663"/>
      <c r="E663"/>
      <c r="F663"/>
    </row>
    <row r="664" spans="1:6" x14ac:dyDescent="0.3">
      <c r="A664"/>
      <c r="B664"/>
      <c r="C664"/>
      <c r="D664"/>
      <c r="E664"/>
      <c r="F664"/>
    </row>
    <row r="665" spans="1:6" x14ac:dyDescent="0.3">
      <c r="A665"/>
      <c r="B665"/>
      <c r="C665"/>
      <c r="D665"/>
      <c r="E665"/>
      <c r="F665"/>
    </row>
    <row r="666" spans="1:6" x14ac:dyDescent="0.3">
      <c r="A666"/>
      <c r="B666"/>
      <c r="C666"/>
      <c r="D666"/>
      <c r="E666"/>
      <c r="F666"/>
    </row>
    <row r="667" spans="1:6" x14ac:dyDescent="0.3">
      <c r="A667"/>
      <c r="B667"/>
      <c r="C667"/>
      <c r="D667"/>
      <c r="E667"/>
      <c r="F667"/>
    </row>
    <row r="668" spans="1:6" x14ac:dyDescent="0.3">
      <c r="A668"/>
      <c r="B668"/>
      <c r="C668"/>
      <c r="D668"/>
      <c r="E668"/>
      <c r="F668"/>
    </row>
    <row r="669" spans="1:6" x14ac:dyDescent="0.3">
      <c r="A669"/>
      <c r="B669"/>
      <c r="C669"/>
      <c r="D669"/>
      <c r="E669"/>
      <c r="F669"/>
    </row>
    <row r="670" spans="1:6" x14ac:dyDescent="0.3">
      <c r="A670"/>
      <c r="B670"/>
      <c r="C670"/>
      <c r="D670"/>
      <c r="E670"/>
      <c r="F670"/>
    </row>
    <row r="671" spans="1:6" x14ac:dyDescent="0.3">
      <c r="A671"/>
      <c r="B671"/>
      <c r="C671"/>
      <c r="D671"/>
      <c r="E671"/>
      <c r="F671"/>
    </row>
    <row r="672" spans="1:6" x14ac:dyDescent="0.3">
      <c r="A672"/>
      <c r="B672"/>
      <c r="C672"/>
      <c r="D672"/>
      <c r="E672"/>
      <c r="F672"/>
    </row>
    <row r="673" spans="1:6" x14ac:dyDescent="0.3">
      <c r="A673"/>
      <c r="B673"/>
      <c r="C673"/>
      <c r="D673"/>
      <c r="E673"/>
      <c r="F673"/>
    </row>
    <row r="674" spans="1:6" x14ac:dyDescent="0.3">
      <c r="A674"/>
      <c r="B674"/>
      <c r="C674"/>
      <c r="D674"/>
      <c r="E674"/>
      <c r="F674"/>
    </row>
    <row r="675" spans="1:6" x14ac:dyDescent="0.3">
      <c r="A675"/>
      <c r="B675"/>
      <c r="C675"/>
      <c r="D675"/>
      <c r="E675"/>
      <c r="F675"/>
    </row>
  </sheetData>
  <autoFilter ref="A1:F675">
    <sortState ref="A2:F675">
      <sortCondition descending="1" ref="E1:E675"/>
    </sortState>
  </autoFilter>
  <phoneticPr fontId="1" type="noConversion"/>
  <conditionalFormatting sqref="A1:A541 A676:A1048576">
    <cfRule type="duplicateValues" dxfId="0" priority="1"/>
  </conditionalFormatting>
  <hyperlinks>
    <hyperlink ref="F451" r:id="rId1" display="https://link.springer.com/chapter/10.1007/978-3-319-96133-0_29"/>
    <hyperlink ref="F365" r:id="rId2" display="http://dx.doi.org/10.24881/tjk.2020.11.3.79"/>
    <hyperlink ref="F366" r:id="rId3" display="http://dx.doi.org/10.24231/rici.2020.24.1.116"/>
    <hyperlink ref="F280" r:id="rId4" display="http://dx.doi.org/10.23949/kjpe.2021.3.60.2.12"/>
    <hyperlink ref="F282" r:id="rId5" display="http://dx.doi.org/10.32349/ECERR.2021.6.25.3.171"/>
    <hyperlink ref="F251" r:id="rId6" display="http://dx.doi.org/10.33519/kwea.2022.13.2.003"/>
  </hyperlinks>
  <pageMargins left="0.75" right="0.75" top="1" bottom="1" header="0.5" footer="0.5"/>
  <pageSetup paperSize="9" orientation="portrait"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3"/>
  <sheetViews>
    <sheetView zoomScale="70" zoomScaleNormal="70" workbookViewId="0">
      <pane ySplit="1" topLeftCell="A80" activePane="bottomLeft" state="frozen"/>
      <selection pane="bottomLeft" activeCell="I2" sqref="I2:I93"/>
    </sheetView>
  </sheetViews>
  <sheetFormatPr defaultRowHeight="16.5" x14ac:dyDescent="0.3"/>
  <cols>
    <col min="1" max="1" width="28.125" customWidth="1"/>
    <col min="2" max="2" width="16.375" customWidth="1"/>
    <col min="3" max="5" width="0" hidden="1" customWidth="1"/>
    <col min="6" max="6" width="16.75" customWidth="1"/>
    <col min="7" max="8" width="0" hidden="1" customWidth="1"/>
    <col min="9" max="9" width="87.125" customWidth="1"/>
    <col min="10" max="10" width="26.625" customWidth="1"/>
    <col min="11" max="12" width="0" hidden="1" customWidth="1"/>
    <col min="15" max="21" width="0" hidden="1" customWidth="1"/>
    <col min="27" max="32" width="0" hidden="1" customWidth="1"/>
    <col min="36" max="45" width="0" hidden="1" customWidth="1"/>
    <col min="48" max="55" width="0" hidden="1" customWidth="1"/>
    <col min="61" max="67" width="0" hidden="1" customWidth="1"/>
    <col min="257" max="257" width="28.125" customWidth="1"/>
    <col min="258" max="258" width="16.375" customWidth="1"/>
    <col min="262" max="262" width="16.75" customWidth="1"/>
    <col min="265" max="265" width="87.125" customWidth="1"/>
    <col min="266" max="266" width="26.625" customWidth="1"/>
    <col min="513" max="513" width="28.125" customWidth="1"/>
    <col min="514" max="514" width="16.375" customWidth="1"/>
    <col min="518" max="518" width="16.75" customWidth="1"/>
    <col min="521" max="521" width="87.125" customWidth="1"/>
    <col min="522" max="522" width="26.625" customWidth="1"/>
    <col min="769" max="769" width="28.125" customWidth="1"/>
    <col min="770" max="770" width="16.375" customWidth="1"/>
    <col min="774" max="774" width="16.75" customWidth="1"/>
    <col min="777" max="777" width="87.125" customWidth="1"/>
    <col min="778" max="778" width="26.625" customWidth="1"/>
    <col min="1025" max="1025" width="28.125" customWidth="1"/>
    <col min="1026" max="1026" width="16.375" customWidth="1"/>
    <col min="1030" max="1030" width="16.75" customWidth="1"/>
    <col min="1033" max="1033" width="87.125" customWidth="1"/>
    <col min="1034" max="1034" width="26.625" customWidth="1"/>
    <col min="1281" max="1281" width="28.125" customWidth="1"/>
    <col min="1282" max="1282" width="16.375" customWidth="1"/>
    <col min="1286" max="1286" width="16.75" customWidth="1"/>
    <col min="1289" max="1289" width="87.125" customWidth="1"/>
    <col min="1290" max="1290" width="26.625" customWidth="1"/>
    <col min="1537" max="1537" width="28.125" customWidth="1"/>
    <col min="1538" max="1538" width="16.375" customWidth="1"/>
    <col min="1542" max="1542" width="16.75" customWidth="1"/>
    <col min="1545" max="1545" width="87.125" customWidth="1"/>
    <col min="1546" max="1546" width="26.625" customWidth="1"/>
    <col min="1793" max="1793" width="28.125" customWidth="1"/>
    <col min="1794" max="1794" width="16.375" customWidth="1"/>
    <col min="1798" max="1798" width="16.75" customWidth="1"/>
    <col min="1801" max="1801" width="87.125" customWidth="1"/>
    <col min="1802" max="1802" width="26.625" customWidth="1"/>
    <col min="2049" max="2049" width="28.125" customWidth="1"/>
    <col min="2050" max="2050" width="16.375" customWidth="1"/>
    <col min="2054" max="2054" width="16.75" customWidth="1"/>
    <col min="2057" max="2057" width="87.125" customWidth="1"/>
    <col min="2058" max="2058" width="26.625" customWidth="1"/>
    <col min="2305" max="2305" width="28.125" customWidth="1"/>
    <col min="2306" max="2306" width="16.375" customWidth="1"/>
    <col min="2310" max="2310" width="16.75" customWidth="1"/>
    <col min="2313" max="2313" width="87.125" customWidth="1"/>
    <col min="2314" max="2314" width="26.625" customWidth="1"/>
    <col min="2561" max="2561" width="28.125" customWidth="1"/>
    <col min="2562" max="2562" width="16.375" customWidth="1"/>
    <col min="2566" max="2566" width="16.75" customWidth="1"/>
    <col min="2569" max="2569" width="87.125" customWidth="1"/>
    <col min="2570" max="2570" width="26.625" customWidth="1"/>
    <col min="2817" max="2817" width="28.125" customWidth="1"/>
    <col min="2818" max="2818" width="16.375" customWidth="1"/>
    <col min="2822" max="2822" width="16.75" customWidth="1"/>
    <col min="2825" max="2825" width="87.125" customWidth="1"/>
    <col min="2826" max="2826" width="26.625" customWidth="1"/>
    <col min="3073" max="3073" width="28.125" customWidth="1"/>
    <col min="3074" max="3074" width="16.375" customWidth="1"/>
    <col min="3078" max="3078" width="16.75" customWidth="1"/>
    <col min="3081" max="3081" width="87.125" customWidth="1"/>
    <col min="3082" max="3082" width="26.625" customWidth="1"/>
    <col min="3329" max="3329" width="28.125" customWidth="1"/>
    <col min="3330" max="3330" width="16.375" customWidth="1"/>
    <col min="3334" max="3334" width="16.75" customWidth="1"/>
    <col min="3337" max="3337" width="87.125" customWidth="1"/>
    <col min="3338" max="3338" width="26.625" customWidth="1"/>
    <col min="3585" max="3585" width="28.125" customWidth="1"/>
    <col min="3586" max="3586" width="16.375" customWidth="1"/>
    <col min="3590" max="3590" width="16.75" customWidth="1"/>
    <col min="3593" max="3593" width="87.125" customWidth="1"/>
    <col min="3594" max="3594" width="26.625" customWidth="1"/>
    <col min="3841" max="3841" width="28.125" customWidth="1"/>
    <col min="3842" max="3842" width="16.375" customWidth="1"/>
    <col min="3846" max="3846" width="16.75" customWidth="1"/>
    <col min="3849" max="3849" width="87.125" customWidth="1"/>
    <col min="3850" max="3850" width="26.625" customWidth="1"/>
    <col min="4097" max="4097" width="28.125" customWidth="1"/>
    <col min="4098" max="4098" width="16.375" customWidth="1"/>
    <col min="4102" max="4102" width="16.75" customWidth="1"/>
    <col min="4105" max="4105" width="87.125" customWidth="1"/>
    <col min="4106" max="4106" width="26.625" customWidth="1"/>
    <col min="4353" max="4353" width="28.125" customWidth="1"/>
    <col min="4354" max="4354" width="16.375" customWidth="1"/>
    <col min="4358" max="4358" width="16.75" customWidth="1"/>
    <col min="4361" max="4361" width="87.125" customWidth="1"/>
    <col min="4362" max="4362" width="26.625" customWidth="1"/>
    <col min="4609" max="4609" width="28.125" customWidth="1"/>
    <col min="4610" max="4610" width="16.375" customWidth="1"/>
    <col min="4614" max="4614" width="16.75" customWidth="1"/>
    <col min="4617" max="4617" width="87.125" customWidth="1"/>
    <col min="4618" max="4618" width="26.625" customWidth="1"/>
    <col min="4865" max="4865" width="28.125" customWidth="1"/>
    <col min="4866" max="4866" width="16.375" customWidth="1"/>
    <col min="4870" max="4870" width="16.75" customWidth="1"/>
    <col min="4873" max="4873" width="87.125" customWidth="1"/>
    <col min="4874" max="4874" width="26.625" customWidth="1"/>
    <col min="5121" max="5121" width="28.125" customWidth="1"/>
    <col min="5122" max="5122" width="16.375" customWidth="1"/>
    <col min="5126" max="5126" width="16.75" customWidth="1"/>
    <col min="5129" max="5129" width="87.125" customWidth="1"/>
    <col min="5130" max="5130" width="26.625" customWidth="1"/>
    <col min="5377" max="5377" width="28.125" customWidth="1"/>
    <col min="5378" max="5378" width="16.375" customWidth="1"/>
    <col min="5382" max="5382" width="16.75" customWidth="1"/>
    <col min="5385" max="5385" width="87.125" customWidth="1"/>
    <col min="5386" max="5386" width="26.625" customWidth="1"/>
    <col min="5633" max="5633" width="28.125" customWidth="1"/>
    <col min="5634" max="5634" width="16.375" customWidth="1"/>
    <col min="5638" max="5638" width="16.75" customWidth="1"/>
    <col min="5641" max="5641" width="87.125" customWidth="1"/>
    <col min="5642" max="5642" width="26.625" customWidth="1"/>
    <col min="5889" max="5889" width="28.125" customWidth="1"/>
    <col min="5890" max="5890" width="16.375" customWidth="1"/>
    <col min="5894" max="5894" width="16.75" customWidth="1"/>
    <col min="5897" max="5897" width="87.125" customWidth="1"/>
    <col min="5898" max="5898" width="26.625" customWidth="1"/>
    <col min="6145" max="6145" width="28.125" customWidth="1"/>
    <col min="6146" max="6146" width="16.375" customWidth="1"/>
    <col min="6150" max="6150" width="16.75" customWidth="1"/>
    <col min="6153" max="6153" width="87.125" customWidth="1"/>
    <col min="6154" max="6154" width="26.625" customWidth="1"/>
    <col min="6401" max="6401" width="28.125" customWidth="1"/>
    <col min="6402" max="6402" width="16.375" customWidth="1"/>
    <col min="6406" max="6406" width="16.75" customWidth="1"/>
    <col min="6409" max="6409" width="87.125" customWidth="1"/>
    <col min="6410" max="6410" width="26.625" customWidth="1"/>
    <col min="6657" max="6657" width="28.125" customWidth="1"/>
    <col min="6658" max="6658" width="16.375" customWidth="1"/>
    <col min="6662" max="6662" width="16.75" customWidth="1"/>
    <col min="6665" max="6665" width="87.125" customWidth="1"/>
    <col min="6666" max="6666" width="26.625" customWidth="1"/>
    <col min="6913" max="6913" width="28.125" customWidth="1"/>
    <col min="6914" max="6914" width="16.375" customWidth="1"/>
    <col min="6918" max="6918" width="16.75" customWidth="1"/>
    <col min="6921" max="6921" width="87.125" customWidth="1"/>
    <col min="6922" max="6922" width="26.625" customWidth="1"/>
    <col min="7169" max="7169" width="28.125" customWidth="1"/>
    <col min="7170" max="7170" width="16.375" customWidth="1"/>
    <col min="7174" max="7174" width="16.75" customWidth="1"/>
    <col min="7177" max="7177" width="87.125" customWidth="1"/>
    <col min="7178" max="7178" width="26.625" customWidth="1"/>
    <col min="7425" max="7425" width="28.125" customWidth="1"/>
    <col min="7426" max="7426" width="16.375" customWidth="1"/>
    <col min="7430" max="7430" width="16.75" customWidth="1"/>
    <col min="7433" max="7433" width="87.125" customWidth="1"/>
    <col min="7434" max="7434" width="26.625" customWidth="1"/>
    <col min="7681" max="7681" width="28.125" customWidth="1"/>
    <col min="7682" max="7682" width="16.375" customWidth="1"/>
    <col min="7686" max="7686" width="16.75" customWidth="1"/>
    <col min="7689" max="7689" width="87.125" customWidth="1"/>
    <col min="7690" max="7690" width="26.625" customWidth="1"/>
    <col min="7937" max="7937" width="28.125" customWidth="1"/>
    <col min="7938" max="7938" width="16.375" customWidth="1"/>
    <col min="7942" max="7942" width="16.75" customWidth="1"/>
    <col min="7945" max="7945" width="87.125" customWidth="1"/>
    <col min="7946" max="7946" width="26.625" customWidth="1"/>
    <col min="8193" max="8193" width="28.125" customWidth="1"/>
    <col min="8194" max="8194" width="16.375" customWidth="1"/>
    <col min="8198" max="8198" width="16.75" customWidth="1"/>
    <col min="8201" max="8201" width="87.125" customWidth="1"/>
    <col min="8202" max="8202" width="26.625" customWidth="1"/>
    <col min="8449" max="8449" width="28.125" customWidth="1"/>
    <col min="8450" max="8450" width="16.375" customWidth="1"/>
    <col min="8454" max="8454" width="16.75" customWidth="1"/>
    <col min="8457" max="8457" width="87.125" customWidth="1"/>
    <col min="8458" max="8458" width="26.625" customWidth="1"/>
    <col min="8705" max="8705" width="28.125" customWidth="1"/>
    <col min="8706" max="8706" width="16.375" customWidth="1"/>
    <col min="8710" max="8710" width="16.75" customWidth="1"/>
    <col min="8713" max="8713" width="87.125" customWidth="1"/>
    <col min="8714" max="8714" width="26.625" customWidth="1"/>
    <col min="8961" max="8961" width="28.125" customWidth="1"/>
    <col min="8962" max="8962" width="16.375" customWidth="1"/>
    <col min="8966" max="8966" width="16.75" customWidth="1"/>
    <col min="8969" max="8969" width="87.125" customWidth="1"/>
    <col min="8970" max="8970" width="26.625" customWidth="1"/>
    <col min="9217" max="9217" width="28.125" customWidth="1"/>
    <col min="9218" max="9218" width="16.375" customWidth="1"/>
    <col min="9222" max="9222" width="16.75" customWidth="1"/>
    <col min="9225" max="9225" width="87.125" customWidth="1"/>
    <col min="9226" max="9226" width="26.625" customWidth="1"/>
    <col min="9473" max="9473" width="28.125" customWidth="1"/>
    <col min="9474" max="9474" width="16.375" customWidth="1"/>
    <col min="9478" max="9478" width="16.75" customWidth="1"/>
    <col min="9481" max="9481" width="87.125" customWidth="1"/>
    <col min="9482" max="9482" width="26.625" customWidth="1"/>
    <col min="9729" max="9729" width="28.125" customWidth="1"/>
    <col min="9730" max="9730" width="16.375" customWidth="1"/>
    <col min="9734" max="9734" width="16.75" customWidth="1"/>
    <col min="9737" max="9737" width="87.125" customWidth="1"/>
    <col min="9738" max="9738" width="26.625" customWidth="1"/>
    <col min="9985" max="9985" width="28.125" customWidth="1"/>
    <col min="9986" max="9986" width="16.375" customWidth="1"/>
    <col min="9990" max="9990" width="16.75" customWidth="1"/>
    <col min="9993" max="9993" width="87.125" customWidth="1"/>
    <col min="9994" max="9994" width="26.625" customWidth="1"/>
    <col min="10241" max="10241" width="28.125" customWidth="1"/>
    <col min="10242" max="10242" width="16.375" customWidth="1"/>
    <col min="10246" max="10246" width="16.75" customWidth="1"/>
    <col min="10249" max="10249" width="87.125" customWidth="1"/>
    <col min="10250" max="10250" width="26.625" customWidth="1"/>
    <col min="10497" max="10497" width="28.125" customWidth="1"/>
    <col min="10498" max="10498" width="16.375" customWidth="1"/>
    <col min="10502" max="10502" width="16.75" customWidth="1"/>
    <col min="10505" max="10505" width="87.125" customWidth="1"/>
    <col min="10506" max="10506" width="26.625" customWidth="1"/>
    <col min="10753" max="10753" width="28.125" customWidth="1"/>
    <col min="10754" max="10754" width="16.375" customWidth="1"/>
    <col min="10758" max="10758" width="16.75" customWidth="1"/>
    <col min="10761" max="10761" width="87.125" customWidth="1"/>
    <col min="10762" max="10762" width="26.625" customWidth="1"/>
    <col min="11009" max="11009" width="28.125" customWidth="1"/>
    <col min="11010" max="11010" width="16.375" customWidth="1"/>
    <col min="11014" max="11014" width="16.75" customWidth="1"/>
    <col min="11017" max="11017" width="87.125" customWidth="1"/>
    <col min="11018" max="11018" width="26.625" customWidth="1"/>
    <col min="11265" max="11265" width="28.125" customWidth="1"/>
    <col min="11266" max="11266" width="16.375" customWidth="1"/>
    <col min="11270" max="11270" width="16.75" customWidth="1"/>
    <col min="11273" max="11273" width="87.125" customWidth="1"/>
    <col min="11274" max="11274" width="26.625" customWidth="1"/>
    <col min="11521" max="11521" width="28.125" customWidth="1"/>
    <col min="11522" max="11522" width="16.375" customWidth="1"/>
    <col min="11526" max="11526" width="16.75" customWidth="1"/>
    <col min="11529" max="11529" width="87.125" customWidth="1"/>
    <col min="11530" max="11530" width="26.625" customWidth="1"/>
    <col min="11777" max="11777" width="28.125" customWidth="1"/>
    <col min="11778" max="11778" width="16.375" customWidth="1"/>
    <col min="11782" max="11782" width="16.75" customWidth="1"/>
    <col min="11785" max="11785" width="87.125" customWidth="1"/>
    <col min="11786" max="11786" width="26.625" customWidth="1"/>
    <col min="12033" max="12033" width="28.125" customWidth="1"/>
    <col min="12034" max="12034" width="16.375" customWidth="1"/>
    <col min="12038" max="12038" width="16.75" customWidth="1"/>
    <col min="12041" max="12041" width="87.125" customWidth="1"/>
    <col min="12042" max="12042" width="26.625" customWidth="1"/>
    <col min="12289" max="12289" width="28.125" customWidth="1"/>
    <col min="12290" max="12290" width="16.375" customWidth="1"/>
    <col min="12294" max="12294" width="16.75" customWidth="1"/>
    <col min="12297" max="12297" width="87.125" customWidth="1"/>
    <col min="12298" max="12298" width="26.625" customWidth="1"/>
    <col min="12545" max="12545" width="28.125" customWidth="1"/>
    <col min="12546" max="12546" width="16.375" customWidth="1"/>
    <col min="12550" max="12550" width="16.75" customWidth="1"/>
    <col min="12553" max="12553" width="87.125" customWidth="1"/>
    <col min="12554" max="12554" width="26.625" customWidth="1"/>
    <col min="12801" max="12801" width="28.125" customWidth="1"/>
    <col min="12802" max="12802" width="16.375" customWidth="1"/>
    <col min="12806" max="12806" width="16.75" customWidth="1"/>
    <col min="12809" max="12809" width="87.125" customWidth="1"/>
    <col min="12810" max="12810" width="26.625" customWidth="1"/>
    <col min="13057" max="13057" width="28.125" customWidth="1"/>
    <col min="13058" max="13058" width="16.375" customWidth="1"/>
    <col min="13062" max="13062" width="16.75" customWidth="1"/>
    <col min="13065" max="13065" width="87.125" customWidth="1"/>
    <col min="13066" max="13066" width="26.625" customWidth="1"/>
    <col min="13313" max="13313" width="28.125" customWidth="1"/>
    <col min="13314" max="13314" width="16.375" customWidth="1"/>
    <col min="13318" max="13318" width="16.75" customWidth="1"/>
    <col min="13321" max="13321" width="87.125" customWidth="1"/>
    <col min="13322" max="13322" width="26.625" customWidth="1"/>
    <col min="13569" max="13569" width="28.125" customWidth="1"/>
    <col min="13570" max="13570" width="16.375" customWidth="1"/>
    <col min="13574" max="13574" width="16.75" customWidth="1"/>
    <col min="13577" max="13577" width="87.125" customWidth="1"/>
    <col min="13578" max="13578" width="26.625" customWidth="1"/>
    <col min="13825" max="13825" width="28.125" customWidth="1"/>
    <col min="13826" max="13826" width="16.375" customWidth="1"/>
    <col min="13830" max="13830" width="16.75" customWidth="1"/>
    <col min="13833" max="13833" width="87.125" customWidth="1"/>
    <col min="13834" max="13834" width="26.625" customWidth="1"/>
    <col min="14081" max="14081" width="28.125" customWidth="1"/>
    <col min="14082" max="14082" width="16.375" customWidth="1"/>
    <col min="14086" max="14086" width="16.75" customWidth="1"/>
    <col min="14089" max="14089" width="87.125" customWidth="1"/>
    <col min="14090" max="14090" width="26.625" customWidth="1"/>
    <col min="14337" max="14337" width="28.125" customWidth="1"/>
    <col min="14338" max="14338" width="16.375" customWidth="1"/>
    <col min="14342" max="14342" width="16.75" customWidth="1"/>
    <col min="14345" max="14345" width="87.125" customWidth="1"/>
    <col min="14346" max="14346" width="26.625" customWidth="1"/>
    <col min="14593" max="14593" width="28.125" customWidth="1"/>
    <col min="14594" max="14594" width="16.375" customWidth="1"/>
    <col min="14598" max="14598" width="16.75" customWidth="1"/>
    <col min="14601" max="14601" width="87.125" customWidth="1"/>
    <col min="14602" max="14602" width="26.625" customWidth="1"/>
    <col min="14849" max="14849" width="28.125" customWidth="1"/>
    <col min="14850" max="14850" width="16.375" customWidth="1"/>
    <col min="14854" max="14854" width="16.75" customWidth="1"/>
    <col min="14857" max="14857" width="87.125" customWidth="1"/>
    <col min="14858" max="14858" width="26.625" customWidth="1"/>
    <col min="15105" max="15105" width="28.125" customWidth="1"/>
    <col min="15106" max="15106" width="16.375" customWidth="1"/>
    <col min="15110" max="15110" width="16.75" customWidth="1"/>
    <col min="15113" max="15113" width="87.125" customWidth="1"/>
    <col min="15114" max="15114" width="26.625" customWidth="1"/>
    <col min="15361" max="15361" width="28.125" customWidth="1"/>
    <col min="15362" max="15362" width="16.375" customWidth="1"/>
    <col min="15366" max="15366" width="16.75" customWidth="1"/>
    <col min="15369" max="15369" width="87.125" customWidth="1"/>
    <col min="15370" max="15370" width="26.625" customWidth="1"/>
    <col min="15617" max="15617" width="28.125" customWidth="1"/>
    <col min="15618" max="15618" width="16.375" customWidth="1"/>
    <col min="15622" max="15622" width="16.75" customWidth="1"/>
    <col min="15625" max="15625" width="87.125" customWidth="1"/>
    <col min="15626" max="15626" width="26.625" customWidth="1"/>
    <col min="15873" max="15873" width="28.125" customWidth="1"/>
    <col min="15874" max="15874" width="16.375" customWidth="1"/>
    <col min="15878" max="15878" width="16.75" customWidth="1"/>
    <col min="15881" max="15881" width="87.125" customWidth="1"/>
    <col min="15882" max="15882" width="26.625" customWidth="1"/>
    <col min="16129" max="16129" width="28.125" customWidth="1"/>
    <col min="16130" max="16130" width="16.375" customWidth="1"/>
    <col min="16134" max="16134" width="16.75" customWidth="1"/>
    <col min="16137" max="16137" width="87.125" customWidth="1"/>
    <col min="16138" max="16138" width="26.625" customWidth="1"/>
  </cols>
  <sheetData>
    <row r="1" spans="1:75" x14ac:dyDescent="0.3">
      <c r="A1" t="s">
        <v>1846</v>
      </c>
      <c r="B1" t="s">
        <v>1847</v>
      </c>
      <c r="C1" t="s">
        <v>1848</v>
      </c>
      <c r="D1" t="s">
        <v>1849</v>
      </c>
      <c r="E1" t="s">
        <v>1850</v>
      </c>
      <c r="F1" t="s">
        <v>1851</v>
      </c>
      <c r="G1" t="s">
        <v>1852</v>
      </c>
      <c r="H1" t="s">
        <v>1853</v>
      </c>
      <c r="I1" t="s">
        <v>1854</v>
      </c>
      <c r="J1" t="s">
        <v>1855</v>
      </c>
      <c r="K1" t="s">
        <v>1856</v>
      </c>
      <c r="L1" t="s">
        <v>1857</v>
      </c>
      <c r="M1" t="s">
        <v>1858</v>
      </c>
      <c r="N1" t="s">
        <v>1859</v>
      </c>
      <c r="O1" t="s">
        <v>1860</v>
      </c>
      <c r="P1" t="s">
        <v>1861</v>
      </c>
      <c r="Q1" t="s">
        <v>1862</v>
      </c>
      <c r="R1" t="s">
        <v>1863</v>
      </c>
      <c r="S1" t="s">
        <v>1864</v>
      </c>
      <c r="T1" t="s">
        <v>1865</v>
      </c>
      <c r="U1" t="s">
        <v>1866</v>
      </c>
      <c r="V1" t="s">
        <v>71</v>
      </c>
      <c r="W1" t="s">
        <v>1867</v>
      </c>
      <c r="X1" t="s">
        <v>1868</v>
      </c>
      <c r="Y1" t="s">
        <v>1869</v>
      </c>
      <c r="Z1" t="s">
        <v>1870</v>
      </c>
      <c r="AA1" t="s">
        <v>1871</v>
      </c>
      <c r="AB1" t="s">
        <v>1872</v>
      </c>
      <c r="AC1" t="s">
        <v>1873</v>
      </c>
      <c r="AD1" t="s">
        <v>1874</v>
      </c>
      <c r="AE1" t="s">
        <v>1875</v>
      </c>
      <c r="AF1" t="s">
        <v>1876</v>
      </c>
      <c r="AG1" t="s">
        <v>1877</v>
      </c>
      <c r="AH1" t="s">
        <v>1878</v>
      </c>
      <c r="AI1" t="s">
        <v>1879</v>
      </c>
      <c r="AJ1" t="s">
        <v>1880</v>
      </c>
      <c r="AK1" t="s">
        <v>1881</v>
      </c>
      <c r="AL1" t="s">
        <v>1882</v>
      </c>
      <c r="AM1" t="s">
        <v>1883</v>
      </c>
      <c r="AN1" t="s">
        <v>1884</v>
      </c>
      <c r="AO1" t="s">
        <v>1885</v>
      </c>
      <c r="AP1" t="s">
        <v>1886</v>
      </c>
      <c r="AQ1" t="s">
        <v>1887</v>
      </c>
      <c r="AR1" t="s">
        <v>1888</v>
      </c>
      <c r="AS1" t="s">
        <v>1889</v>
      </c>
      <c r="AT1" t="s">
        <v>1890</v>
      </c>
      <c r="AU1" t="s">
        <v>1891</v>
      </c>
      <c r="AV1" t="s">
        <v>1892</v>
      </c>
      <c r="AW1" t="s">
        <v>1893</v>
      </c>
      <c r="AX1" t="s">
        <v>1894</v>
      </c>
      <c r="AY1" t="s">
        <v>1895</v>
      </c>
      <c r="AZ1" t="s">
        <v>1896</v>
      </c>
      <c r="BA1" t="s">
        <v>1897</v>
      </c>
      <c r="BB1" t="s">
        <v>1898</v>
      </c>
      <c r="BC1" t="s">
        <v>1899</v>
      </c>
      <c r="BD1" t="s">
        <v>1900</v>
      </c>
      <c r="BE1" t="s">
        <v>1901</v>
      </c>
      <c r="BF1" t="s">
        <v>1902</v>
      </c>
      <c r="BG1" t="s">
        <v>1903</v>
      </c>
      <c r="BH1" t="s">
        <v>1904</v>
      </c>
      <c r="BI1" t="s">
        <v>1905</v>
      </c>
      <c r="BJ1" t="s">
        <v>1906</v>
      </c>
      <c r="BK1" t="s">
        <v>1907</v>
      </c>
      <c r="BL1" t="s">
        <v>1908</v>
      </c>
      <c r="BM1" t="s">
        <v>1909</v>
      </c>
      <c r="BN1" t="s">
        <v>1910</v>
      </c>
      <c r="BO1" t="s">
        <v>1911</v>
      </c>
      <c r="BP1" t="s">
        <v>1912</v>
      </c>
      <c r="BQ1" t="s">
        <v>1913</v>
      </c>
      <c r="BR1" t="s">
        <v>1914</v>
      </c>
      <c r="BS1" t="s">
        <v>1915</v>
      </c>
      <c r="BT1" t="s">
        <v>1916</v>
      </c>
      <c r="BU1" t="s">
        <v>2833</v>
      </c>
      <c r="BV1" t="s">
        <v>2834</v>
      </c>
    </row>
    <row r="2" spans="1:75" x14ac:dyDescent="0.3">
      <c r="A2" s="4" t="s">
        <v>1917</v>
      </c>
      <c r="B2" t="s">
        <v>1722</v>
      </c>
      <c r="C2" t="s">
        <v>1918</v>
      </c>
      <c r="D2" t="s">
        <v>1918</v>
      </c>
      <c r="E2" t="s">
        <v>1918</v>
      </c>
      <c r="F2" t="s">
        <v>1919</v>
      </c>
      <c r="G2" t="s">
        <v>1918</v>
      </c>
      <c r="H2" t="s">
        <v>1918</v>
      </c>
      <c r="I2" t="s">
        <v>1670</v>
      </c>
      <c r="J2" t="s">
        <v>1763</v>
      </c>
      <c r="K2" t="s">
        <v>1918</v>
      </c>
      <c r="L2" t="s">
        <v>1918</v>
      </c>
      <c r="M2" t="s">
        <v>1918</v>
      </c>
      <c r="N2" t="s">
        <v>1920</v>
      </c>
      <c r="O2" t="s">
        <v>1918</v>
      </c>
      <c r="P2" t="s">
        <v>1918</v>
      </c>
      <c r="Q2" t="s">
        <v>1918</v>
      </c>
      <c r="R2" t="s">
        <v>1918</v>
      </c>
      <c r="S2" t="s">
        <v>1918</v>
      </c>
      <c r="T2" t="s">
        <v>1918</v>
      </c>
      <c r="U2" t="s">
        <v>1918</v>
      </c>
      <c r="V2" t="s">
        <v>1711</v>
      </c>
      <c r="W2" t="s">
        <v>1921</v>
      </c>
      <c r="X2" t="s">
        <v>1918</v>
      </c>
      <c r="Y2" t="s">
        <v>1922</v>
      </c>
      <c r="Z2" t="s">
        <v>1923</v>
      </c>
      <c r="AA2" t="s">
        <v>1918</v>
      </c>
      <c r="AB2" t="s">
        <v>1918</v>
      </c>
      <c r="AC2" t="s">
        <v>1918</v>
      </c>
      <c r="AD2" t="s">
        <v>1918</v>
      </c>
      <c r="AE2" t="s">
        <v>1918</v>
      </c>
      <c r="AF2" t="s">
        <v>1918</v>
      </c>
      <c r="AG2">
        <v>40</v>
      </c>
      <c r="AH2">
        <v>0</v>
      </c>
      <c r="AI2">
        <v>0</v>
      </c>
      <c r="AJ2" t="s">
        <v>1918</v>
      </c>
      <c r="AK2" t="s">
        <v>1918</v>
      </c>
      <c r="AL2" t="s">
        <v>1918</v>
      </c>
      <c r="AM2" t="s">
        <v>1918</v>
      </c>
      <c r="AN2" t="s">
        <v>1918</v>
      </c>
      <c r="AO2" t="s">
        <v>1918</v>
      </c>
      <c r="AP2" t="s">
        <v>1918</v>
      </c>
      <c r="AQ2" t="s">
        <v>1918</v>
      </c>
      <c r="AR2" t="s">
        <v>1918</v>
      </c>
      <c r="AS2" t="s">
        <v>1918</v>
      </c>
      <c r="AT2" t="s">
        <v>1924</v>
      </c>
      <c r="AU2">
        <v>2026</v>
      </c>
      <c r="AV2">
        <v>44</v>
      </c>
      <c r="AW2">
        <v>3</v>
      </c>
      <c r="AX2" t="s">
        <v>1918</v>
      </c>
      <c r="AY2" t="s">
        <v>1918</v>
      </c>
      <c r="AZ2" t="s">
        <v>1918</v>
      </c>
      <c r="BA2" t="s">
        <v>1918</v>
      </c>
      <c r="BB2" t="s">
        <v>1918</v>
      </c>
      <c r="BC2" t="s">
        <v>1918</v>
      </c>
      <c r="BD2" t="s">
        <v>1925</v>
      </c>
      <c r="BE2" t="s">
        <v>1926</v>
      </c>
      <c r="BF2" t="str">
        <f>HYPERLINK("http://dx.doi.org/10.1097/CIN.0000000000001373","http://dx.doi.org/10.1097/CIN.0000000000001373")</f>
        <v>http://dx.doi.org/10.1097/CIN.0000000000001373</v>
      </c>
      <c r="BG2" t="s">
        <v>1918</v>
      </c>
      <c r="BH2" t="s">
        <v>1918</v>
      </c>
      <c r="BI2" t="s">
        <v>1918</v>
      </c>
      <c r="BJ2" t="s">
        <v>1918</v>
      </c>
      <c r="BK2" t="s">
        <v>1918</v>
      </c>
      <c r="BL2" t="s">
        <v>1918</v>
      </c>
      <c r="BM2" t="s">
        <v>1918</v>
      </c>
      <c r="BN2" t="s">
        <v>1918</v>
      </c>
      <c r="BO2" t="s">
        <v>1918</v>
      </c>
      <c r="BP2" t="s">
        <v>1918</v>
      </c>
      <c r="BQ2" t="s">
        <v>1918</v>
      </c>
      <c r="BR2" t="s">
        <v>1927</v>
      </c>
      <c r="BS2" t="s">
        <v>1928</v>
      </c>
      <c r="BT2" t="str">
        <f>HYPERLINK("https%3A%2F%2Fwww.webofscience.com%2Fwos%2Fwoscc%2Ffull-record%2FWOS:001708080600007","View Full Record in Web of Science")</f>
        <v>View Full Record in Web of Science</v>
      </c>
      <c r="BU2">
        <f>COUNTIF('오픈소스&amp;직접수집'!F:F,'wos(corecollection)_260528'!BE2)</f>
        <v>0</v>
      </c>
      <c r="BV2">
        <f>COUNTIF('오픈소스&amp;직접수집'!A:A,'wos(corecollection)_260528'!I2)</f>
        <v>1</v>
      </c>
      <c r="BW2">
        <f>SUM(BU2:BV2)</f>
        <v>1</v>
      </c>
    </row>
    <row r="3" spans="1:75" x14ac:dyDescent="0.3">
      <c r="A3" s="4" t="s">
        <v>1917</v>
      </c>
      <c r="B3" t="s">
        <v>1929</v>
      </c>
      <c r="C3" t="s">
        <v>1918</v>
      </c>
      <c r="D3" t="s">
        <v>1918</v>
      </c>
      <c r="E3" t="s">
        <v>1918</v>
      </c>
      <c r="F3" t="s">
        <v>1930</v>
      </c>
      <c r="G3" t="s">
        <v>1918</v>
      </c>
      <c r="H3" t="s">
        <v>1918</v>
      </c>
      <c r="I3" t="s">
        <v>1319</v>
      </c>
      <c r="J3" t="s">
        <v>1931</v>
      </c>
      <c r="K3" t="s">
        <v>1918</v>
      </c>
      <c r="L3" t="s">
        <v>1918</v>
      </c>
      <c r="M3" t="s">
        <v>1918</v>
      </c>
      <c r="N3" t="s">
        <v>1920</v>
      </c>
      <c r="O3" t="s">
        <v>1918</v>
      </c>
      <c r="P3" t="s">
        <v>1918</v>
      </c>
      <c r="Q3" t="s">
        <v>1918</v>
      </c>
      <c r="R3" t="s">
        <v>1918</v>
      </c>
      <c r="S3" t="s">
        <v>1918</v>
      </c>
      <c r="T3" t="s">
        <v>1918</v>
      </c>
      <c r="U3" t="s">
        <v>1918</v>
      </c>
      <c r="V3" t="s">
        <v>1932</v>
      </c>
      <c r="W3" t="s">
        <v>1933</v>
      </c>
      <c r="X3" t="s">
        <v>1918</v>
      </c>
      <c r="Y3" t="s">
        <v>1934</v>
      </c>
      <c r="Z3" t="s">
        <v>1935</v>
      </c>
      <c r="AA3" t="s">
        <v>1918</v>
      </c>
      <c r="AB3" t="s">
        <v>1918</v>
      </c>
      <c r="AC3" t="s">
        <v>1918</v>
      </c>
      <c r="AD3" t="s">
        <v>1918</v>
      </c>
      <c r="AE3" t="s">
        <v>1918</v>
      </c>
      <c r="AF3" t="s">
        <v>1918</v>
      </c>
      <c r="AG3">
        <v>50</v>
      </c>
      <c r="AH3">
        <v>0</v>
      </c>
      <c r="AI3">
        <v>0</v>
      </c>
      <c r="AJ3" t="s">
        <v>1918</v>
      </c>
      <c r="AK3" t="s">
        <v>1918</v>
      </c>
      <c r="AL3" t="s">
        <v>1918</v>
      </c>
      <c r="AM3" t="s">
        <v>1918</v>
      </c>
      <c r="AN3" t="s">
        <v>1918</v>
      </c>
      <c r="AO3" t="s">
        <v>1918</v>
      </c>
      <c r="AP3" t="s">
        <v>1918</v>
      </c>
      <c r="AQ3" t="s">
        <v>1918</v>
      </c>
      <c r="AR3" t="s">
        <v>1918</v>
      </c>
      <c r="AS3" t="s">
        <v>1918</v>
      </c>
      <c r="AT3" t="s">
        <v>1918</v>
      </c>
      <c r="AU3">
        <v>2026</v>
      </c>
      <c r="AV3">
        <v>34</v>
      </c>
      <c r="AW3" t="s">
        <v>1918</v>
      </c>
      <c r="AX3" t="s">
        <v>1918</v>
      </c>
      <c r="AY3" t="s">
        <v>1918</v>
      </c>
      <c r="AZ3" t="s">
        <v>1918</v>
      </c>
      <c r="BA3" t="s">
        <v>1918</v>
      </c>
      <c r="BB3">
        <v>737</v>
      </c>
      <c r="BC3">
        <v>752</v>
      </c>
      <c r="BD3" t="s">
        <v>1918</v>
      </c>
      <c r="BE3" t="s">
        <v>1936</v>
      </c>
      <c r="BF3" t="str">
        <f>HYPERLINK("http://dx.doi.org/10.1109/TON.2025.3607440","http://dx.doi.org/10.1109/TON.2025.3607440")</f>
        <v>http://dx.doi.org/10.1109/TON.2025.3607440</v>
      </c>
      <c r="BG3" t="s">
        <v>1918</v>
      </c>
      <c r="BH3" t="s">
        <v>1937</v>
      </c>
      <c r="BI3" t="s">
        <v>1918</v>
      </c>
      <c r="BJ3" t="s">
        <v>1918</v>
      </c>
      <c r="BK3" t="s">
        <v>1918</v>
      </c>
      <c r="BL3" t="s">
        <v>1918</v>
      </c>
      <c r="BM3" t="s">
        <v>1918</v>
      </c>
      <c r="BN3" t="s">
        <v>1918</v>
      </c>
      <c r="BO3" t="s">
        <v>1918</v>
      </c>
      <c r="BP3" t="s">
        <v>1918</v>
      </c>
      <c r="BQ3" t="s">
        <v>1918</v>
      </c>
      <c r="BR3" t="s">
        <v>1927</v>
      </c>
      <c r="BS3" t="s">
        <v>1938</v>
      </c>
      <c r="BT3" t="str">
        <f>HYPERLINK("https%3A%2F%2Fwww.webofscience.com%2Fwos%2Fwoscc%2Ffull-record%2FWOS:001582265700001","View Full Record in Web of Science")</f>
        <v>View Full Record in Web of Science</v>
      </c>
      <c r="BU3">
        <f>COUNTIF('오픈소스&amp;직접수집'!F:F,'wos(corecollection)_260528'!BE3)</f>
        <v>0</v>
      </c>
      <c r="BV3">
        <f>COUNTIF('오픈소스&amp;직접수집'!A:A,'wos(corecollection)_260528'!I3)</f>
        <v>0</v>
      </c>
      <c r="BW3">
        <f t="shared" ref="BW3:BW66" si="0">SUM(BU3:BV3)</f>
        <v>0</v>
      </c>
    </row>
    <row r="4" spans="1:75" x14ac:dyDescent="0.3">
      <c r="A4" s="4" t="s">
        <v>1917</v>
      </c>
      <c r="B4" t="s">
        <v>1939</v>
      </c>
      <c r="C4" t="s">
        <v>1918</v>
      </c>
      <c r="D4" t="s">
        <v>1918</v>
      </c>
      <c r="E4" t="s">
        <v>1918</v>
      </c>
      <c r="F4" t="s">
        <v>1940</v>
      </c>
      <c r="G4" t="s">
        <v>1918</v>
      </c>
      <c r="H4" t="s">
        <v>1918</v>
      </c>
      <c r="I4" t="s">
        <v>1941</v>
      </c>
      <c r="J4" t="s">
        <v>1942</v>
      </c>
      <c r="K4" t="s">
        <v>1918</v>
      </c>
      <c r="L4" t="s">
        <v>1918</v>
      </c>
      <c r="M4" t="s">
        <v>1918</v>
      </c>
      <c r="N4" t="s">
        <v>1920</v>
      </c>
      <c r="O4" t="s">
        <v>1918</v>
      </c>
      <c r="P4" t="s">
        <v>1918</v>
      </c>
      <c r="Q4" t="s">
        <v>1918</v>
      </c>
      <c r="R4" t="s">
        <v>1918</v>
      </c>
      <c r="S4" t="s">
        <v>1918</v>
      </c>
      <c r="T4" t="s">
        <v>1918</v>
      </c>
      <c r="U4" t="s">
        <v>1918</v>
      </c>
      <c r="V4" t="s">
        <v>1943</v>
      </c>
      <c r="W4" t="s">
        <v>1944</v>
      </c>
      <c r="X4" t="s">
        <v>1918</v>
      </c>
      <c r="Y4" t="s">
        <v>1945</v>
      </c>
      <c r="Z4" t="s">
        <v>1946</v>
      </c>
      <c r="AA4" t="s">
        <v>1918</v>
      </c>
      <c r="AB4" t="s">
        <v>1918</v>
      </c>
      <c r="AC4" t="s">
        <v>1918</v>
      </c>
      <c r="AD4" t="s">
        <v>1918</v>
      </c>
      <c r="AE4" t="s">
        <v>1918</v>
      </c>
      <c r="AF4" t="s">
        <v>1918</v>
      </c>
      <c r="AG4">
        <v>34</v>
      </c>
      <c r="AH4">
        <v>0</v>
      </c>
      <c r="AI4">
        <v>0</v>
      </c>
      <c r="AJ4" t="s">
        <v>1918</v>
      </c>
      <c r="AK4" t="s">
        <v>1918</v>
      </c>
      <c r="AL4" t="s">
        <v>1918</v>
      </c>
      <c r="AM4" t="s">
        <v>1918</v>
      </c>
      <c r="AN4" t="s">
        <v>1918</v>
      </c>
      <c r="AO4" t="s">
        <v>1918</v>
      </c>
      <c r="AP4" t="s">
        <v>1918</v>
      </c>
      <c r="AQ4" t="s">
        <v>1918</v>
      </c>
      <c r="AR4" t="s">
        <v>1918</v>
      </c>
      <c r="AS4" t="s">
        <v>1918</v>
      </c>
      <c r="AT4" t="s">
        <v>1918</v>
      </c>
      <c r="AU4">
        <v>2025</v>
      </c>
      <c r="AV4">
        <v>20</v>
      </c>
      <c r="AW4">
        <v>5</v>
      </c>
      <c r="AX4" t="s">
        <v>1918</v>
      </c>
      <c r="AY4" t="s">
        <v>1918</v>
      </c>
      <c r="AZ4" t="s">
        <v>1918</v>
      </c>
      <c r="BA4" t="s">
        <v>1918</v>
      </c>
      <c r="BB4" t="s">
        <v>1918</v>
      </c>
      <c r="BC4" t="s">
        <v>1918</v>
      </c>
      <c r="BD4" t="s">
        <v>26</v>
      </c>
      <c r="BE4" t="s">
        <v>27</v>
      </c>
      <c r="BF4" t="str">
        <f>HYPERLINK("http://dx.doi.org/10.1371/journal.pone.0322956","http://dx.doi.org/10.1371/journal.pone.0322956")</f>
        <v>http://dx.doi.org/10.1371/journal.pone.0322956</v>
      </c>
      <c r="BG4" t="s">
        <v>1918</v>
      </c>
      <c r="BH4" t="s">
        <v>1918</v>
      </c>
      <c r="BI4" t="s">
        <v>1918</v>
      </c>
      <c r="BJ4" t="s">
        <v>1918</v>
      </c>
      <c r="BK4" t="s">
        <v>1918</v>
      </c>
      <c r="BL4" t="s">
        <v>1918</v>
      </c>
      <c r="BM4" t="s">
        <v>1918</v>
      </c>
      <c r="BN4" t="s">
        <v>1918</v>
      </c>
      <c r="BO4" t="s">
        <v>1918</v>
      </c>
      <c r="BP4" t="s">
        <v>1918</v>
      </c>
      <c r="BQ4" t="s">
        <v>1918</v>
      </c>
      <c r="BR4" t="s">
        <v>1927</v>
      </c>
      <c r="BS4" t="s">
        <v>1947</v>
      </c>
      <c r="BT4" t="str">
        <f>HYPERLINK("https%3A%2F%2Fwww.webofscience.com%2Fwos%2Fwoscc%2Ffull-record%2FWOS:001488720800043","View Full Record in Web of Science")</f>
        <v>View Full Record in Web of Science</v>
      </c>
      <c r="BU4">
        <f>COUNTIF('오픈소스&amp;직접수집'!F:F,'wos(corecollection)_260528'!BE4)</f>
        <v>0</v>
      </c>
      <c r="BV4">
        <f>COUNTIF('오픈소스&amp;직접수집'!A:A,'wos(corecollection)_260528'!I4)</f>
        <v>0</v>
      </c>
      <c r="BW4">
        <f t="shared" si="0"/>
        <v>0</v>
      </c>
    </row>
    <row r="5" spans="1:75" x14ac:dyDescent="0.3">
      <c r="A5" s="4" t="s">
        <v>1917</v>
      </c>
      <c r="B5" t="s">
        <v>1948</v>
      </c>
      <c r="C5" t="s">
        <v>1918</v>
      </c>
      <c r="D5" t="s">
        <v>1918</v>
      </c>
      <c r="E5" t="s">
        <v>1918</v>
      </c>
      <c r="F5" t="s">
        <v>1949</v>
      </c>
      <c r="G5" t="s">
        <v>1918</v>
      </c>
      <c r="H5" t="s">
        <v>1918</v>
      </c>
      <c r="I5" t="s">
        <v>1435</v>
      </c>
      <c r="J5" t="s">
        <v>1763</v>
      </c>
      <c r="K5" t="s">
        <v>1918</v>
      </c>
      <c r="L5" t="s">
        <v>1918</v>
      </c>
      <c r="M5" t="s">
        <v>1918</v>
      </c>
      <c r="N5" t="s">
        <v>1920</v>
      </c>
      <c r="O5" t="s">
        <v>1918</v>
      </c>
      <c r="P5" t="s">
        <v>1918</v>
      </c>
      <c r="Q5" t="s">
        <v>1918</v>
      </c>
      <c r="R5" t="s">
        <v>1918</v>
      </c>
      <c r="S5" t="s">
        <v>1918</v>
      </c>
      <c r="T5" t="s">
        <v>1918</v>
      </c>
      <c r="U5" t="s">
        <v>1918</v>
      </c>
      <c r="V5" t="s">
        <v>1950</v>
      </c>
      <c r="W5" t="s">
        <v>1951</v>
      </c>
      <c r="X5" t="s">
        <v>1918</v>
      </c>
      <c r="Y5" t="s">
        <v>1952</v>
      </c>
      <c r="Z5" t="s">
        <v>1953</v>
      </c>
      <c r="AA5" t="s">
        <v>1918</v>
      </c>
      <c r="AB5" t="s">
        <v>1918</v>
      </c>
      <c r="AC5" t="s">
        <v>1918</v>
      </c>
      <c r="AD5" t="s">
        <v>1918</v>
      </c>
      <c r="AE5" t="s">
        <v>1918</v>
      </c>
      <c r="AF5" t="s">
        <v>1918</v>
      </c>
      <c r="AG5">
        <v>33</v>
      </c>
      <c r="AH5">
        <v>0</v>
      </c>
      <c r="AI5">
        <v>0</v>
      </c>
      <c r="AJ5" t="s">
        <v>1918</v>
      </c>
      <c r="AK5" t="s">
        <v>1918</v>
      </c>
      <c r="AL5" t="s">
        <v>1918</v>
      </c>
      <c r="AM5" t="s">
        <v>1918</v>
      </c>
      <c r="AN5" t="s">
        <v>1918</v>
      </c>
      <c r="AO5" t="s">
        <v>1918</v>
      </c>
      <c r="AP5" t="s">
        <v>1918</v>
      </c>
      <c r="AQ5" t="s">
        <v>1918</v>
      </c>
      <c r="AR5" t="s">
        <v>1918</v>
      </c>
      <c r="AS5" t="s">
        <v>1918</v>
      </c>
      <c r="AT5" t="s">
        <v>1954</v>
      </c>
      <c r="AU5">
        <v>2025</v>
      </c>
      <c r="AV5">
        <v>43</v>
      </c>
      <c r="AW5">
        <v>9</v>
      </c>
      <c r="AX5" t="s">
        <v>1918</v>
      </c>
      <c r="AY5" t="s">
        <v>1918</v>
      </c>
      <c r="AZ5" t="s">
        <v>1918</v>
      </c>
      <c r="BA5" t="s">
        <v>1918</v>
      </c>
      <c r="BB5" t="s">
        <v>1918</v>
      </c>
      <c r="BC5" t="s">
        <v>1918</v>
      </c>
      <c r="BD5" t="s">
        <v>1955</v>
      </c>
      <c r="BE5" t="s">
        <v>1956</v>
      </c>
      <c r="BF5" t="str">
        <f>HYPERLINK("http://dx.doi.org/10.1097/CIN.0000000000001347","http://dx.doi.org/10.1097/CIN.0000000000001347")</f>
        <v>http://dx.doi.org/10.1097/CIN.0000000000001347</v>
      </c>
      <c r="BG5" t="s">
        <v>1918</v>
      </c>
      <c r="BH5" t="s">
        <v>1918</v>
      </c>
      <c r="BI5" t="s">
        <v>1918</v>
      </c>
      <c r="BJ5" t="s">
        <v>1918</v>
      </c>
      <c r="BK5" t="s">
        <v>1918</v>
      </c>
      <c r="BL5" t="s">
        <v>1918</v>
      </c>
      <c r="BM5" t="s">
        <v>1918</v>
      </c>
      <c r="BN5" t="s">
        <v>1918</v>
      </c>
      <c r="BO5" t="s">
        <v>1918</v>
      </c>
      <c r="BP5" t="s">
        <v>1918</v>
      </c>
      <c r="BQ5" t="s">
        <v>1918</v>
      </c>
      <c r="BR5" t="s">
        <v>1927</v>
      </c>
      <c r="BS5" t="s">
        <v>1957</v>
      </c>
      <c r="BT5" t="str">
        <f>HYPERLINK("https%3A%2F%2Fwww.webofscience.com%2Fwos%2Fwoscc%2Ffull-record%2FWOS:001569257100006","View Full Record in Web of Science")</f>
        <v>View Full Record in Web of Science</v>
      </c>
      <c r="BU5">
        <f>COUNTIF('오픈소스&amp;직접수집'!F:F,'wos(corecollection)_260528'!BE5)</f>
        <v>0</v>
      </c>
      <c r="BV5">
        <f>COUNTIF('오픈소스&amp;직접수집'!A:A,'wos(corecollection)_260528'!I5)</f>
        <v>0</v>
      </c>
      <c r="BW5">
        <f t="shared" si="0"/>
        <v>0</v>
      </c>
    </row>
    <row r="6" spans="1:75" x14ac:dyDescent="0.3">
      <c r="A6" s="4" t="s">
        <v>1917</v>
      </c>
      <c r="B6" t="s">
        <v>1724</v>
      </c>
      <c r="C6" t="s">
        <v>1918</v>
      </c>
      <c r="D6" t="s">
        <v>1918</v>
      </c>
      <c r="E6" t="s">
        <v>1918</v>
      </c>
      <c r="F6" t="s">
        <v>1958</v>
      </c>
      <c r="G6" t="s">
        <v>1918</v>
      </c>
      <c r="H6" t="s">
        <v>1918</v>
      </c>
      <c r="I6" t="s">
        <v>1672</v>
      </c>
      <c r="J6" t="s">
        <v>1765</v>
      </c>
      <c r="K6" t="s">
        <v>1918</v>
      </c>
      <c r="L6" t="s">
        <v>1918</v>
      </c>
      <c r="M6" t="s">
        <v>1918</v>
      </c>
      <c r="N6" t="s">
        <v>1920</v>
      </c>
      <c r="O6" t="s">
        <v>1918</v>
      </c>
      <c r="P6" t="s">
        <v>1918</v>
      </c>
      <c r="Q6" t="s">
        <v>1918</v>
      </c>
      <c r="R6" t="s">
        <v>1918</v>
      </c>
      <c r="S6" t="s">
        <v>1918</v>
      </c>
      <c r="T6" t="s">
        <v>1918</v>
      </c>
      <c r="U6" t="s">
        <v>1918</v>
      </c>
      <c r="V6" t="s">
        <v>1712</v>
      </c>
      <c r="W6" t="s">
        <v>1959</v>
      </c>
      <c r="X6" t="s">
        <v>1918</v>
      </c>
      <c r="Y6" t="s">
        <v>1922</v>
      </c>
      <c r="Z6" t="s">
        <v>1960</v>
      </c>
      <c r="AA6" t="s">
        <v>1918</v>
      </c>
      <c r="AB6" t="s">
        <v>1918</v>
      </c>
      <c r="AC6" t="s">
        <v>1918</v>
      </c>
      <c r="AD6" t="s">
        <v>1918</v>
      </c>
      <c r="AE6" t="s">
        <v>1918</v>
      </c>
      <c r="AF6" t="s">
        <v>1918</v>
      </c>
      <c r="AG6">
        <v>36</v>
      </c>
      <c r="AH6">
        <v>0</v>
      </c>
      <c r="AI6">
        <v>0</v>
      </c>
      <c r="AJ6" t="s">
        <v>1918</v>
      </c>
      <c r="AK6" t="s">
        <v>1918</v>
      </c>
      <c r="AL6" t="s">
        <v>1918</v>
      </c>
      <c r="AM6" t="s">
        <v>1918</v>
      </c>
      <c r="AN6" t="s">
        <v>1918</v>
      </c>
      <c r="AO6" t="s">
        <v>1918</v>
      </c>
      <c r="AP6" t="s">
        <v>1918</v>
      </c>
      <c r="AQ6" t="s">
        <v>1918</v>
      </c>
      <c r="AR6" t="s">
        <v>1918</v>
      </c>
      <c r="AS6" t="s">
        <v>1918</v>
      </c>
      <c r="AT6" t="s">
        <v>1961</v>
      </c>
      <c r="AU6">
        <v>2025</v>
      </c>
      <c r="AV6">
        <v>24</v>
      </c>
      <c r="AW6">
        <v>1</v>
      </c>
      <c r="AX6" t="s">
        <v>1918</v>
      </c>
      <c r="AY6" t="s">
        <v>1918</v>
      </c>
      <c r="AZ6" t="s">
        <v>1918</v>
      </c>
      <c r="BA6" t="s">
        <v>1918</v>
      </c>
      <c r="BB6" t="s">
        <v>1918</v>
      </c>
      <c r="BC6" t="s">
        <v>1918</v>
      </c>
      <c r="BD6">
        <v>1016</v>
      </c>
      <c r="BE6" t="s">
        <v>1550</v>
      </c>
      <c r="BF6" t="str">
        <f>HYPERLINK("http://dx.doi.org/10.1186/s12912-025-03625-5","http://dx.doi.org/10.1186/s12912-025-03625-5")</f>
        <v>http://dx.doi.org/10.1186/s12912-025-03625-5</v>
      </c>
      <c r="BG6" t="s">
        <v>1918</v>
      </c>
      <c r="BH6" t="s">
        <v>1918</v>
      </c>
      <c r="BI6" t="s">
        <v>1918</v>
      </c>
      <c r="BJ6" t="s">
        <v>1918</v>
      </c>
      <c r="BK6" t="s">
        <v>1918</v>
      </c>
      <c r="BL6" t="s">
        <v>1918</v>
      </c>
      <c r="BM6" t="s">
        <v>1918</v>
      </c>
      <c r="BN6" t="s">
        <v>1918</v>
      </c>
      <c r="BO6" t="s">
        <v>1918</v>
      </c>
      <c r="BP6" t="s">
        <v>1918</v>
      </c>
      <c r="BQ6" t="s">
        <v>1918</v>
      </c>
      <c r="BR6" t="s">
        <v>1927</v>
      </c>
      <c r="BS6" t="s">
        <v>1962</v>
      </c>
      <c r="BT6" t="str">
        <f>HYPERLINK("https%3A%2F%2Fwww.webofscience.com%2Fwos%2Fwoscc%2Ffull-record%2FWOS:001545465400002","View Full Record in Web of Science")</f>
        <v>View Full Record in Web of Science</v>
      </c>
      <c r="BU6">
        <f>COUNTIF('오픈소스&amp;직접수집'!F:F,'wos(corecollection)_260528'!BE6)</f>
        <v>0</v>
      </c>
      <c r="BV6">
        <f>COUNTIF('오픈소스&amp;직접수집'!A:A,'wos(corecollection)_260528'!I6)</f>
        <v>1</v>
      </c>
      <c r="BW6">
        <f t="shared" si="0"/>
        <v>1</v>
      </c>
    </row>
    <row r="7" spans="1:75" x14ac:dyDescent="0.3">
      <c r="A7" s="4" t="s">
        <v>1917</v>
      </c>
      <c r="B7" t="s">
        <v>1963</v>
      </c>
      <c r="C7" t="s">
        <v>1918</v>
      </c>
      <c r="D7" t="s">
        <v>1918</v>
      </c>
      <c r="E7" t="s">
        <v>1918</v>
      </c>
      <c r="F7" t="s">
        <v>1964</v>
      </c>
      <c r="G7" t="s">
        <v>1918</v>
      </c>
      <c r="H7" t="s">
        <v>1918</v>
      </c>
      <c r="I7" t="s">
        <v>1394</v>
      </c>
      <c r="J7" t="s">
        <v>1965</v>
      </c>
      <c r="K7" t="s">
        <v>1918</v>
      </c>
      <c r="L7" t="s">
        <v>1918</v>
      </c>
      <c r="M7" t="s">
        <v>1918</v>
      </c>
      <c r="N7" t="s">
        <v>1920</v>
      </c>
      <c r="O7" t="s">
        <v>1918</v>
      </c>
      <c r="P7" t="s">
        <v>1918</v>
      </c>
      <c r="Q7" t="s">
        <v>1918</v>
      </c>
      <c r="R7" t="s">
        <v>1918</v>
      </c>
      <c r="S7" t="s">
        <v>1918</v>
      </c>
      <c r="T7" t="s">
        <v>1918</v>
      </c>
      <c r="U7" t="s">
        <v>1918</v>
      </c>
      <c r="V7" t="s">
        <v>1966</v>
      </c>
      <c r="W7" t="s">
        <v>1967</v>
      </c>
      <c r="X7" t="s">
        <v>1918</v>
      </c>
      <c r="Y7" t="s">
        <v>1968</v>
      </c>
      <c r="Z7" t="s">
        <v>1946</v>
      </c>
      <c r="AA7" t="s">
        <v>1918</v>
      </c>
      <c r="AB7" t="s">
        <v>1918</v>
      </c>
      <c r="AC7" t="s">
        <v>1918</v>
      </c>
      <c r="AD7" t="s">
        <v>1918</v>
      </c>
      <c r="AE7" t="s">
        <v>1918</v>
      </c>
      <c r="AF7" t="s">
        <v>1918</v>
      </c>
      <c r="AG7">
        <v>60</v>
      </c>
      <c r="AH7">
        <v>0</v>
      </c>
      <c r="AI7">
        <v>0</v>
      </c>
      <c r="AJ7" t="s">
        <v>1918</v>
      </c>
      <c r="AK7" t="s">
        <v>1918</v>
      </c>
      <c r="AL7" t="s">
        <v>1918</v>
      </c>
      <c r="AM7" t="s">
        <v>1918</v>
      </c>
      <c r="AN7" t="s">
        <v>1918</v>
      </c>
      <c r="AO7" t="s">
        <v>1918</v>
      </c>
      <c r="AP7" t="s">
        <v>1918</v>
      </c>
      <c r="AQ7" t="s">
        <v>1918</v>
      </c>
      <c r="AR7" t="s">
        <v>1918</v>
      </c>
      <c r="AS7" t="s">
        <v>1918</v>
      </c>
      <c r="AT7" t="s">
        <v>1969</v>
      </c>
      <c r="AU7">
        <v>2025</v>
      </c>
      <c r="AV7">
        <v>15</v>
      </c>
      <c r="AW7">
        <v>10</v>
      </c>
      <c r="AX7" t="s">
        <v>1918</v>
      </c>
      <c r="AY7" t="s">
        <v>1918</v>
      </c>
      <c r="AZ7" t="s">
        <v>1918</v>
      </c>
      <c r="BA7" t="s">
        <v>1918</v>
      </c>
      <c r="BB7" t="s">
        <v>1918</v>
      </c>
      <c r="BC7" t="s">
        <v>1918</v>
      </c>
      <c r="BD7" t="s">
        <v>1395</v>
      </c>
      <c r="BE7" t="s">
        <v>1612</v>
      </c>
      <c r="BF7" t="str">
        <f>HYPERLINK("http://dx.doi.org/10.1002/brb3.70910","http://dx.doi.org/10.1002/brb3.70910")</f>
        <v>http://dx.doi.org/10.1002/brb3.70910</v>
      </c>
      <c r="BG7" t="s">
        <v>1918</v>
      </c>
      <c r="BH7" t="s">
        <v>1918</v>
      </c>
      <c r="BI7" t="s">
        <v>1918</v>
      </c>
      <c r="BJ7" t="s">
        <v>1918</v>
      </c>
      <c r="BK7" t="s">
        <v>1918</v>
      </c>
      <c r="BL7" t="s">
        <v>1918</v>
      </c>
      <c r="BM7" t="s">
        <v>1918</v>
      </c>
      <c r="BN7" t="s">
        <v>1918</v>
      </c>
      <c r="BO7" t="s">
        <v>1918</v>
      </c>
      <c r="BP7" t="s">
        <v>1918</v>
      </c>
      <c r="BQ7" t="s">
        <v>1918</v>
      </c>
      <c r="BR7" t="s">
        <v>1927</v>
      </c>
      <c r="BS7" t="s">
        <v>1970</v>
      </c>
      <c r="BT7" t="str">
        <f>HYPERLINK("https%3A%2F%2Fwww.webofscience.com%2Fwos%2Fwoscc%2Ffull-record%2FWOS:001582615700001","View Full Record in Web of Science")</f>
        <v>View Full Record in Web of Science</v>
      </c>
      <c r="BU7">
        <f>COUNTIF('오픈소스&amp;직접수집'!F:F,'wos(corecollection)_260528'!BE7)</f>
        <v>0</v>
      </c>
      <c r="BV7">
        <f>COUNTIF('오픈소스&amp;직접수집'!A:A,'wos(corecollection)_260528'!I7)</f>
        <v>0</v>
      </c>
      <c r="BW7">
        <f t="shared" si="0"/>
        <v>0</v>
      </c>
    </row>
    <row r="8" spans="1:75" x14ac:dyDescent="0.3">
      <c r="A8" s="4" t="s">
        <v>1917</v>
      </c>
      <c r="B8" t="s">
        <v>1731</v>
      </c>
      <c r="C8" t="s">
        <v>1918</v>
      </c>
      <c r="D8" t="s">
        <v>1918</v>
      </c>
      <c r="E8" t="s">
        <v>1918</v>
      </c>
      <c r="F8" t="s">
        <v>732</v>
      </c>
      <c r="G8" t="s">
        <v>1918</v>
      </c>
      <c r="H8" t="s">
        <v>1918</v>
      </c>
      <c r="I8" t="s">
        <v>1679</v>
      </c>
      <c r="J8" t="s">
        <v>1772</v>
      </c>
      <c r="K8" t="s">
        <v>1918</v>
      </c>
      <c r="L8" t="s">
        <v>1918</v>
      </c>
      <c r="M8" t="s">
        <v>1918</v>
      </c>
      <c r="N8" t="s">
        <v>1920</v>
      </c>
      <c r="O8" t="s">
        <v>1918</v>
      </c>
      <c r="P8" t="s">
        <v>1918</v>
      </c>
      <c r="Q8" t="s">
        <v>1918</v>
      </c>
      <c r="R8" t="s">
        <v>1918</v>
      </c>
      <c r="S8" t="s">
        <v>1918</v>
      </c>
      <c r="T8" t="s">
        <v>1918</v>
      </c>
      <c r="U8" t="s">
        <v>1918</v>
      </c>
      <c r="V8" t="s">
        <v>1713</v>
      </c>
      <c r="W8" t="s">
        <v>1971</v>
      </c>
      <c r="X8" t="s">
        <v>1918</v>
      </c>
      <c r="Y8" t="s">
        <v>1972</v>
      </c>
      <c r="Z8" t="s">
        <v>1960</v>
      </c>
      <c r="AA8" t="s">
        <v>1918</v>
      </c>
      <c r="AB8" t="s">
        <v>1918</v>
      </c>
      <c r="AC8" t="s">
        <v>1918</v>
      </c>
      <c r="AD8" t="s">
        <v>1918</v>
      </c>
      <c r="AE8" t="s">
        <v>1918</v>
      </c>
      <c r="AF8" t="s">
        <v>1918</v>
      </c>
      <c r="AG8">
        <v>41</v>
      </c>
      <c r="AH8">
        <v>4</v>
      </c>
      <c r="AI8">
        <v>5</v>
      </c>
      <c r="AJ8" t="s">
        <v>1918</v>
      </c>
      <c r="AK8" t="s">
        <v>1918</v>
      </c>
      <c r="AL8" t="s">
        <v>1918</v>
      </c>
      <c r="AM8" t="s">
        <v>1918</v>
      </c>
      <c r="AN8" t="s">
        <v>1918</v>
      </c>
      <c r="AO8" t="s">
        <v>1918</v>
      </c>
      <c r="AP8" t="s">
        <v>1918</v>
      </c>
      <c r="AQ8" t="s">
        <v>1918</v>
      </c>
      <c r="AR8" t="s">
        <v>1918</v>
      </c>
      <c r="AS8" t="s">
        <v>1918</v>
      </c>
      <c r="AT8" t="s">
        <v>1973</v>
      </c>
      <c r="AU8">
        <v>2024</v>
      </c>
      <c r="AV8">
        <v>54</v>
      </c>
      <c r="AW8">
        <v>3</v>
      </c>
      <c r="AX8" t="s">
        <v>1918</v>
      </c>
      <c r="AY8" t="s">
        <v>1918</v>
      </c>
      <c r="AZ8" t="s">
        <v>1918</v>
      </c>
      <c r="BA8" t="s">
        <v>1918</v>
      </c>
      <c r="BB8">
        <v>358</v>
      </c>
      <c r="BC8">
        <v>371</v>
      </c>
      <c r="BD8" t="s">
        <v>1918</v>
      </c>
      <c r="BE8" t="s">
        <v>1974</v>
      </c>
      <c r="BF8" t="str">
        <f>HYPERLINK("http://dx.doi.org/10.4040/jkan.24034","http://dx.doi.org/10.4040/jkan.24034")</f>
        <v>http://dx.doi.org/10.4040/jkan.24034</v>
      </c>
      <c r="BG8" t="s">
        <v>1918</v>
      </c>
      <c r="BH8" t="s">
        <v>1918</v>
      </c>
      <c r="BI8" t="s">
        <v>1918</v>
      </c>
      <c r="BJ8" t="s">
        <v>1918</v>
      </c>
      <c r="BK8" t="s">
        <v>1918</v>
      </c>
      <c r="BL8" t="s">
        <v>1918</v>
      </c>
      <c r="BM8" t="s">
        <v>1918</v>
      </c>
      <c r="BN8" t="s">
        <v>1918</v>
      </c>
      <c r="BO8" t="s">
        <v>1918</v>
      </c>
      <c r="BP8" t="s">
        <v>1918</v>
      </c>
      <c r="BQ8" t="s">
        <v>1918</v>
      </c>
      <c r="BR8" t="s">
        <v>1927</v>
      </c>
      <c r="BS8" t="s">
        <v>1975</v>
      </c>
      <c r="BT8" t="str">
        <f>HYPERLINK("https%3A%2F%2Fwww.webofscience.com%2Fwos%2Fwoscc%2Ffull-record%2FWOS:001314085800007","View Full Record in Web of Science")</f>
        <v>View Full Record in Web of Science</v>
      </c>
      <c r="BU8">
        <f>COUNTIF('오픈소스&amp;직접수집'!F:F,'wos(corecollection)_260528'!BE8)</f>
        <v>1</v>
      </c>
      <c r="BV8">
        <f>COUNTIF('오픈소스&amp;직접수집'!A:A,'wos(corecollection)_260528'!I8)</f>
        <v>1</v>
      </c>
      <c r="BW8">
        <f t="shared" si="0"/>
        <v>2</v>
      </c>
    </row>
    <row r="9" spans="1:75" x14ac:dyDescent="0.3">
      <c r="A9" s="4" t="s">
        <v>1917</v>
      </c>
      <c r="B9" t="s">
        <v>1732</v>
      </c>
      <c r="C9" t="s">
        <v>1918</v>
      </c>
      <c r="D9" t="s">
        <v>1918</v>
      </c>
      <c r="E9" t="s">
        <v>1918</v>
      </c>
      <c r="F9" t="s">
        <v>1976</v>
      </c>
      <c r="G9" t="s">
        <v>1918</v>
      </c>
      <c r="H9" t="s">
        <v>1918</v>
      </c>
      <c r="I9" t="s">
        <v>1680</v>
      </c>
      <c r="J9" t="s">
        <v>1773</v>
      </c>
      <c r="K9" t="s">
        <v>1918</v>
      </c>
      <c r="L9" t="s">
        <v>1918</v>
      </c>
      <c r="M9" t="s">
        <v>1918</v>
      </c>
      <c r="N9" t="s">
        <v>1920</v>
      </c>
      <c r="O9" t="s">
        <v>1918</v>
      </c>
      <c r="P9" t="s">
        <v>1918</v>
      </c>
      <c r="Q9" t="s">
        <v>1918</v>
      </c>
      <c r="R9" t="s">
        <v>1918</v>
      </c>
      <c r="S9" t="s">
        <v>1918</v>
      </c>
      <c r="T9" t="s">
        <v>1918</v>
      </c>
      <c r="U9" t="s">
        <v>1918</v>
      </c>
      <c r="V9" t="s">
        <v>1555</v>
      </c>
      <c r="W9" t="s">
        <v>1977</v>
      </c>
      <c r="X9" t="s">
        <v>1918</v>
      </c>
      <c r="Y9" t="s">
        <v>1978</v>
      </c>
      <c r="Z9" t="s">
        <v>1979</v>
      </c>
      <c r="AA9" t="s">
        <v>1918</v>
      </c>
      <c r="AB9" t="s">
        <v>1918</v>
      </c>
      <c r="AC9" t="s">
        <v>1918</v>
      </c>
      <c r="AD9" t="s">
        <v>1918</v>
      </c>
      <c r="AE9" t="s">
        <v>1918</v>
      </c>
      <c r="AF9" t="s">
        <v>1918</v>
      </c>
      <c r="AG9">
        <v>46</v>
      </c>
      <c r="AH9">
        <v>3</v>
      </c>
      <c r="AI9">
        <v>4</v>
      </c>
      <c r="AJ9" t="s">
        <v>1918</v>
      </c>
      <c r="AK9" t="s">
        <v>1918</v>
      </c>
      <c r="AL9" t="s">
        <v>1918</v>
      </c>
      <c r="AM9" t="s">
        <v>1918</v>
      </c>
      <c r="AN9" t="s">
        <v>1918</v>
      </c>
      <c r="AO9" t="s">
        <v>1918</v>
      </c>
      <c r="AP9" t="s">
        <v>1918</v>
      </c>
      <c r="AQ9" t="s">
        <v>1918</v>
      </c>
      <c r="AR9" t="s">
        <v>1918</v>
      </c>
      <c r="AS9" t="s">
        <v>1918</v>
      </c>
      <c r="AT9" t="s">
        <v>1918</v>
      </c>
      <c r="AU9">
        <v>2024</v>
      </c>
      <c r="AV9">
        <v>61</v>
      </c>
      <c r="AW9" t="s">
        <v>1918</v>
      </c>
      <c r="AX9" t="s">
        <v>1918</v>
      </c>
      <c r="AY9" t="s">
        <v>1918</v>
      </c>
      <c r="AZ9" t="s">
        <v>1918</v>
      </c>
      <c r="BA9" t="s">
        <v>1918</v>
      </c>
      <c r="BB9" t="s">
        <v>1918</v>
      </c>
      <c r="BC9" t="s">
        <v>1918</v>
      </c>
      <c r="BD9">
        <v>469580241271152</v>
      </c>
      <c r="BE9" t="s">
        <v>1554</v>
      </c>
      <c r="BF9" t="str">
        <f>HYPERLINK("http://dx.doi.org/10.1177/00469580241271152","http://dx.doi.org/10.1177/00469580241271152")</f>
        <v>http://dx.doi.org/10.1177/00469580241271152</v>
      </c>
      <c r="BG9" t="s">
        <v>1918</v>
      </c>
      <c r="BH9" t="s">
        <v>1918</v>
      </c>
      <c r="BI9" t="s">
        <v>1918</v>
      </c>
      <c r="BJ9" t="s">
        <v>1918</v>
      </c>
      <c r="BK9" t="s">
        <v>1918</v>
      </c>
      <c r="BL9" t="s">
        <v>1918</v>
      </c>
      <c r="BM9" t="s">
        <v>1918</v>
      </c>
      <c r="BN9" t="s">
        <v>1918</v>
      </c>
      <c r="BO9" t="s">
        <v>1918</v>
      </c>
      <c r="BP9" t="s">
        <v>1918</v>
      </c>
      <c r="BQ9" t="s">
        <v>1918</v>
      </c>
      <c r="BR9" t="s">
        <v>1927</v>
      </c>
      <c r="BS9" t="s">
        <v>1980</v>
      </c>
      <c r="BT9" t="str">
        <f>HYPERLINK("https%3A%2F%2Fwww.webofscience.com%2Fwos%2Fwoscc%2Ffull-record%2FWOS:001298233300001","View Full Record in Web of Science")</f>
        <v>View Full Record in Web of Science</v>
      </c>
      <c r="BU9">
        <f>COUNTIF('오픈소스&amp;직접수집'!F:F,'wos(corecollection)_260528'!BE9)</f>
        <v>1</v>
      </c>
      <c r="BV9">
        <f>COUNTIF('오픈소스&amp;직접수집'!A:A,'wos(corecollection)_260528'!I9)</f>
        <v>1</v>
      </c>
      <c r="BW9">
        <f t="shared" si="0"/>
        <v>2</v>
      </c>
    </row>
    <row r="10" spans="1:75" x14ac:dyDescent="0.3">
      <c r="A10" s="4" t="s">
        <v>1917</v>
      </c>
      <c r="B10" t="s">
        <v>1981</v>
      </c>
      <c r="C10" t="s">
        <v>1918</v>
      </c>
      <c r="D10" t="s">
        <v>1918</v>
      </c>
      <c r="E10" t="s">
        <v>1918</v>
      </c>
      <c r="F10" t="s">
        <v>1982</v>
      </c>
      <c r="G10" t="s">
        <v>1918</v>
      </c>
      <c r="H10" t="s">
        <v>1918</v>
      </c>
      <c r="I10" t="s">
        <v>1213</v>
      </c>
      <c r="J10" t="s">
        <v>1983</v>
      </c>
      <c r="K10" t="s">
        <v>1918</v>
      </c>
      <c r="L10" t="s">
        <v>1918</v>
      </c>
      <c r="M10" t="s">
        <v>1918</v>
      </c>
      <c r="N10" t="s">
        <v>1920</v>
      </c>
      <c r="O10" t="s">
        <v>1918</v>
      </c>
      <c r="P10" t="s">
        <v>1918</v>
      </c>
      <c r="Q10" t="s">
        <v>1918</v>
      </c>
      <c r="R10" t="s">
        <v>1918</v>
      </c>
      <c r="S10" t="s">
        <v>1918</v>
      </c>
      <c r="T10" t="s">
        <v>1918</v>
      </c>
      <c r="U10" t="s">
        <v>1918</v>
      </c>
      <c r="V10" t="s">
        <v>1984</v>
      </c>
      <c r="W10" t="s">
        <v>1985</v>
      </c>
      <c r="X10" t="s">
        <v>1918</v>
      </c>
      <c r="Y10" t="s">
        <v>1986</v>
      </c>
      <c r="Z10" t="s">
        <v>1987</v>
      </c>
      <c r="AA10" t="s">
        <v>1918</v>
      </c>
      <c r="AB10" t="s">
        <v>1918</v>
      </c>
      <c r="AC10" t="s">
        <v>1918</v>
      </c>
      <c r="AD10" t="s">
        <v>1918</v>
      </c>
      <c r="AE10" t="s">
        <v>1918</v>
      </c>
      <c r="AF10" t="s">
        <v>1918</v>
      </c>
      <c r="AG10">
        <v>54</v>
      </c>
      <c r="AH10">
        <v>3</v>
      </c>
      <c r="AI10">
        <v>3</v>
      </c>
      <c r="AJ10" t="s">
        <v>1918</v>
      </c>
      <c r="AK10" t="s">
        <v>1918</v>
      </c>
      <c r="AL10" t="s">
        <v>1918</v>
      </c>
      <c r="AM10" t="s">
        <v>1918</v>
      </c>
      <c r="AN10" t="s">
        <v>1918</v>
      </c>
      <c r="AO10" t="s">
        <v>1918</v>
      </c>
      <c r="AP10" t="s">
        <v>1918</v>
      </c>
      <c r="AQ10" t="s">
        <v>1918</v>
      </c>
      <c r="AR10" t="s">
        <v>1918</v>
      </c>
      <c r="AS10" t="s">
        <v>1918</v>
      </c>
      <c r="AT10" t="s">
        <v>1988</v>
      </c>
      <c r="AU10">
        <v>2024</v>
      </c>
      <c r="AV10">
        <v>24</v>
      </c>
      <c r="AW10">
        <v>1</v>
      </c>
      <c r="AX10" t="s">
        <v>1918</v>
      </c>
      <c r="AY10" t="s">
        <v>1918</v>
      </c>
      <c r="AZ10" t="s">
        <v>1918</v>
      </c>
      <c r="BA10" t="s">
        <v>1918</v>
      </c>
      <c r="BB10" t="s">
        <v>1918</v>
      </c>
      <c r="BC10" t="s">
        <v>1918</v>
      </c>
      <c r="BD10">
        <v>1496</v>
      </c>
      <c r="BE10" t="s">
        <v>1515</v>
      </c>
      <c r="BF10" t="str">
        <f>HYPERLINK("http://dx.doi.org/10.1186/s12889-024-19023-6","http://dx.doi.org/10.1186/s12889-024-19023-6")</f>
        <v>http://dx.doi.org/10.1186/s12889-024-19023-6</v>
      </c>
      <c r="BG10" t="s">
        <v>1918</v>
      </c>
      <c r="BH10" t="s">
        <v>1918</v>
      </c>
      <c r="BI10" t="s">
        <v>1918</v>
      </c>
      <c r="BJ10" t="s">
        <v>1918</v>
      </c>
      <c r="BK10" t="s">
        <v>1918</v>
      </c>
      <c r="BL10" t="s">
        <v>1918</v>
      </c>
      <c r="BM10" t="s">
        <v>1918</v>
      </c>
      <c r="BN10" t="s">
        <v>1918</v>
      </c>
      <c r="BO10" t="s">
        <v>1918</v>
      </c>
      <c r="BP10" t="s">
        <v>1918</v>
      </c>
      <c r="BQ10" t="s">
        <v>1918</v>
      </c>
      <c r="BR10" t="s">
        <v>1927</v>
      </c>
      <c r="BS10" t="s">
        <v>1989</v>
      </c>
      <c r="BT10" t="str">
        <f>HYPERLINK("https%3A%2F%2Fwww.webofscience.com%2Fwos%2Fwoscc%2Ffull-record%2FWOS:001320257300007","View Full Record in Web of Science")</f>
        <v>View Full Record in Web of Science</v>
      </c>
      <c r="BU10">
        <f>COUNTIF('오픈소스&amp;직접수집'!F:F,'wos(corecollection)_260528'!BE10)</f>
        <v>1</v>
      </c>
      <c r="BV10">
        <f>COUNTIF('오픈소스&amp;직접수집'!A:A,'wos(corecollection)_260528'!I10)</f>
        <v>1</v>
      </c>
      <c r="BW10">
        <f t="shared" si="0"/>
        <v>2</v>
      </c>
    </row>
    <row r="11" spans="1:75" x14ac:dyDescent="0.3">
      <c r="A11" s="4" t="s">
        <v>1917</v>
      </c>
      <c r="B11" t="s">
        <v>1733</v>
      </c>
      <c r="C11" t="s">
        <v>1918</v>
      </c>
      <c r="D11" t="s">
        <v>1918</v>
      </c>
      <c r="E11" t="s">
        <v>1918</v>
      </c>
      <c r="F11" t="s">
        <v>1990</v>
      </c>
      <c r="G11" t="s">
        <v>1918</v>
      </c>
      <c r="H11" t="s">
        <v>1918</v>
      </c>
      <c r="I11" t="s">
        <v>1681</v>
      </c>
      <c r="J11" t="s">
        <v>1774</v>
      </c>
      <c r="K11" t="s">
        <v>1918</v>
      </c>
      <c r="L11" t="s">
        <v>1918</v>
      </c>
      <c r="M11" t="s">
        <v>1918</v>
      </c>
      <c r="N11" t="s">
        <v>1920</v>
      </c>
      <c r="O11" t="s">
        <v>1918</v>
      </c>
      <c r="P11" t="s">
        <v>1918</v>
      </c>
      <c r="Q11" t="s">
        <v>1918</v>
      </c>
      <c r="R11" t="s">
        <v>1918</v>
      </c>
      <c r="S11" t="s">
        <v>1918</v>
      </c>
      <c r="T11" t="s">
        <v>1918</v>
      </c>
      <c r="U11" t="s">
        <v>1918</v>
      </c>
      <c r="V11" t="s">
        <v>1714</v>
      </c>
      <c r="W11" t="s">
        <v>1991</v>
      </c>
      <c r="X11" t="s">
        <v>1918</v>
      </c>
      <c r="Y11" t="s">
        <v>1992</v>
      </c>
      <c r="Z11" t="s">
        <v>1993</v>
      </c>
      <c r="AA11" t="s">
        <v>1918</v>
      </c>
      <c r="AB11" t="s">
        <v>1918</v>
      </c>
      <c r="AC11" t="s">
        <v>1918</v>
      </c>
      <c r="AD11" t="s">
        <v>1918</v>
      </c>
      <c r="AE11" t="s">
        <v>1918</v>
      </c>
      <c r="AF11" t="s">
        <v>1918</v>
      </c>
      <c r="AG11">
        <v>56</v>
      </c>
      <c r="AH11">
        <v>2</v>
      </c>
      <c r="AI11">
        <v>2</v>
      </c>
      <c r="AJ11" t="s">
        <v>1918</v>
      </c>
      <c r="AK11" t="s">
        <v>1918</v>
      </c>
      <c r="AL11" t="s">
        <v>1918</v>
      </c>
      <c r="AM11" t="s">
        <v>1918</v>
      </c>
      <c r="AN11" t="s">
        <v>1918</v>
      </c>
      <c r="AO11" t="s">
        <v>1918</v>
      </c>
      <c r="AP11" t="s">
        <v>1918</v>
      </c>
      <c r="AQ11" t="s">
        <v>1918</v>
      </c>
      <c r="AR11" t="s">
        <v>1918</v>
      </c>
      <c r="AS11" t="s">
        <v>1918</v>
      </c>
      <c r="AT11" t="s">
        <v>1994</v>
      </c>
      <c r="AU11">
        <v>2024</v>
      </c>
      <c r="AV11">
        <v>12</v>
      </c>
      <c r="AW11">
        <v>19</v>
      </c>
      <c r="AX11" t="s">
        <v>1918</v>
      </c>
      <c r="AY11" t="s">
        <v>1918</v>
      </c>
      <c r="AZ11" t="s">
        <v>1918</v>
      </c>
      <c r="BA11" t="s">
        <v>1918</v>
      </c>
      <c r="BB11" t="s">
        <v>1918</v>
      </c>
      <c r="BC11" t="s">
        <v>1918</v>
      </c>
      <c r="BD11">
        <v>1914</v>
      </c>
      <c r="BE11" t="s">
        <v>1995</v>
      </c>
      <c r="BF11" t="str">
        <f>HYPERLINK("http://dx.doi.org/10.3390/healthcare12191914","http://dx.doi.org/10.3390/healthcare12191914")</f>
        <v>http://dx.doi.org/10.3390/healthcare12191914</v>
      </c>
      <c r="BG11" t="s">
        <v>1918</v>
      </c>
      <c r="BH11" t="s">
        <v>1918</v>
      </c>
      <c r="BI11" t="s">
        <v>1918</v>
      </c>
      <c r="BJ11" t="s">
        <v>1918</v>
      </c>
      <c r="BK11" t="s">
        <v>1918</v>
      </c>
      <c r="BL11" t="s">
        <v>1918</v>
      </c>
      <c r="BM11" t="s">
        <v>1918</v>
      </c>
      <c r="BN11" t="s">
        <v>1918</v>
      </c>
      <c r="BO11" t="s">
        <v>1918</v>
      </c>
      <c r="BP11" t="s">
        <v>1918</v>
      </c>
      <c r="BQ11" t="s">
        <v>1918</v>
      </c>
      <c r="BR11" t="s">
        <v>1927</v>
      </c>
      <c r="BS11" t="s">
        <v>1996</v>
      </c>
      <c r="BT11" t="str">
        <f>HYPERLINK("https%3A%2F%2Fwww.webofscience.com%2Fwos%2Fwoscc%2Ffull-record%2FWOS:001331936100001","View Full Record in Web of Science")</f>
        <v>View Full Record in Web of Science</v>
      </c>
      <c r="BU11">
        <f>COUNTIF('오픈소스&amp;직접수집'!F:F,'wos(corecollection)_260528'!BE11)</f>
        <v>0</v>
      </c>
      <c r="BV11">
        <f>COUNTIF('오픈소스&amp;직접수집'!A:A,'wos(corecollection)_260528'!I11)</f>
        <v>1</v>
      </c>
      <c r="BW11">
        <f t="shared" si="0"/>
        <v>1</v>
      </c>
    </row>
    <row r="12" spans="1:75" x14ac:dyDescent="0.3">
      <c r="A12" s="4" t="s">
        <v>1917</v>
      </c>
      <c r="B12" t="s">
        <v>1997</v>
      </c>
      <c r="C12" t="s">
        <v>1918</v>
      </c>
      <c r="D12" t="s">
        <v>1918</v>
      </c>
      <c r="E12" t="s">
        <v>1918</v>
      </c>
      <c r="F12" t="s">
        <v>1998</v>
      </c>
      <c r="G12" t="s">
        <v>1918</v>
      </c>
      <c r="H12" t="s">
        <v>1918</v>
      </c>
      <c r="I12" t="s">
        <v>1325</v>
      </c>
      <c r="J12" t="s">
        <v>1942</v>
      </c>
      <c r="K12" t="s">
        <v>1918</v>
      </c>
      <c r="L12" t="s">
        <v>1918</v>
      </c>
      <c r="M12" t="s">
        <v>1918</v>
      </c>
      <c r="N12" t="s">
        <v>1920</v>
      </c>
      <c r="O12" t="s">
        <v>1918</v>
      </c>
      <c r="P12" t="s">
        <v>1918</v>
      </c>
      <c r="Q12" t="s">
        <v>1918</v>
      </c>
      <c r="R12" t="s">
        <v>1918</v>
      </c>
      <c r="S12" t="s">
        <v>1918</v>
      </c>
      <c r="T12" t="s">
        <v>1918</v>
      </c>
      <c r="U12" t="s">
        <v>1918</v>
      </c>
      <c r="V12" t="s">
        <v>1574</v>
      </c>
      <c r="W12" t="s">
        <v>1999</v>
      </c>
      <c r="X12" t="s">
        <v>1918</v>
      </c>
      <c r="Y12" t="s">
        <v>2000</v>
      </c>
      <c r="Z12" t="s">
        <v>2001</v>
      </c>
      <c r="AA12" t="s">
        <v>1918</v>
      </c>
      <c r="AB12" t="s">
        <v>1918</v>
      </c>
      <c r="AC12" t="s">
        <v>1918</v>
      </c>
      <c r="AD12" t="s">
        <v>1918</v>
      </c>
      <c r="AE12" t="s">
        <v>1918</v>
      </c>
      <c r="AF12" t="s">
        <v>1918</v>
      </c>
      <c r="AG12">
        <v>46</v>
      </c>
      <c r="AH12">
        <v>1</v>
      </c>
      <c r="AI12">
        <v>1</v>
      </c>
      <c r="AJ12" t="s">
        <v>1918</v>
      </c>
      <c r="AK12" t="s">
        <v>1918</v>
      </c>
      <c r="AL12" t="s">
        <v>1918</v>
      </c>
      <c r="AM12" t="s">
        <v>1918</v>
      </c>
      <c r="AN12" t="s">
        <v>1918</v>
      </c>
      <c r="AO12" t="s">
        <v>1918</v>
      </c>
      <c r="AP12" t="s">
        <v>1918</v>
      </c>
      <c r="AQ12" t="s">
        <v>1918</v>
      </c>
      <c r="AR12" t="s">
        <v>1918</v>
      </c>
      <c r="AS12" t="s">
        <v>1918</v>
      </c>
      <c r="AT12" t="s">
        <v>2002</v>
      </c>
      <c r="AU12">
        <v>2024</v>
      </c>
      <c r="AV12">
        <v>19</v>
      </c>
      <c r="AW12">
        <v>4</v>
      </c>
      <c r="AX12" t="s">
        <v>1918</v>
      </c>
      <c r="AY12" t="s">
        <v>1918</v>
      </c>
      <c r="AZ12" t="s">
        <v>1918</v>
      </c>
      <c r="BA12" t="s">
        <v>1918</v>
      </c>
      <c r="BB12" t="s">
        <v>1918</v>
      </c>
      <c r="BC12" t="s">
        <v>1918</v>
      </c>
      <c r="BD12" t="s">
        <v>1328</v>
      </c>
      <c r="BE12" t="s">
        <v>1573</v>
      </c>
      <c r="BF12" t="str">
        <f>HYPERLINK("http://dx.doi.org/10.1371/journal.pone.0299782","http://dx.doi.org/10.1371/journal.pone.0299782")</f>
        <v>http://dx.doi.org/10.1371/journal.pone.0299782</v>
      </c>
      <c r="BG12" t="s">
        <v>1918</v>
      </c>
      <c r="BH12" t="s">
        <v>1918</v>
      </c>
      <c r="BI12" t="s">
        <v>1918</v>
      </c>
      <c r="BJ12" t="s">
        <v>1918</v>
      </c>
      <c r="BK12" t="s">
        <v>1918</v>
      </c>
      <c r="BL12" t="s">
        <v>1918</v>
      </c>
      <c r="BM12" t="s">
        <v>1918</v>
      </c>
      <c r="BN12" t="s">
        <v>1918</v>
      </c>
      <c r="BO12" t="s">
        <v>1918</v>
      </c>
      <c r="BP12" t="s">
        <v>1918</v>
      </c>
      <c r="BQ12" t="s">
        <v>1918</v>
      </c>
      <c r="BR12" t="s">
        <v>1927</v>
      </c>
      <c r="BS12" t="s">
        <v>2003</v>
      </c>
      <c r="BT12" t="str">
        <f>HYPERLINK("https%3A%2F%2Fwww.webofscience.com%2Fwos%2Fwoscc%2Ffull-record%2FWOS:001207320100096","View Full Record in Web of Science")</f>
        <v>View Full Record in Web of Science</v>
      </c>
      <c r="BU12">
        <f>COUNTIF('오픈소스&amp;직접수집'!F:F,'wos(corecollection)_260528'!BE12)</f>
        <v>1</v>
      </c>
      <c r="BV12">
        <f>COUNTIF('오픈소스&amp;직접수집'!A:A,'wos(corecollection)_260528'!I12)</f>
        <v>1</v>
      </c>
      <c r="BW12">
        <f t="shared" si="0"/>
        <v>2</v>
      </c>
    </row>
    <row r="13" spans="1:75" x14ac:dyDescent="0.3">
      <c r="A13" s="4" t="s">
        <v>1917</v>
      </c>
      <c r="B13" t="s">
        <v>2004</v>
      </c>
      <c r="C13" t="s">
        <v>1918</v>
      </c>
      <c r="D13" t="s">
        <v>1918</v>
      </c>
      <c r="E13" t="s">
        <v>1918</v>
      </c>
      <c r="F13" t="s">
        <v>2005</v>
      </c>
      <c r="G13" t="s">
        <v>1918</v>
      </c>
      <c r="H13" t="s">
        <v>1918</v>
      </c>
      <c r="I13" t="s">
        <v>2006</v>
      </c>
      <c r="J13" t="s">
        <v>2007</v>
      </c>
      <c r="K13" t="s">
        <v>1918</v>
      </c>
      <c r="L13" t="s">
        <v>1918</v>
      </c>
      <c r="M13" t="s">
        <v>1918</v>
      </c>
      <c r="N13" t="s">
        <v>1920</v>
      </c>
      <c r="O13" t="s">
        <v>1918</v>
      </c>
      <c r="P13" t="s">
        <v>1918</v>
      </c>
      <c r="Q13" t="s">
        <v>1918</v>
      </c>
      <c r="R13" t="s">
        <v>1918</v>
      </c>
      <c r="S13" t="s">
        <v>1918</v>
      </c>
      <c r="T13" t="s">
        <v>1918</v>
      </c>
      <c r="U13" t="s">
        <v>1918</v>
      </c>
      <c r="V13" t="s">
        <v>2008</v>
      </c>
      <c r="W13" t="s">
        <v>2009</v>
      </c>
      <c r="X13" t="s">
        <v>1918</v>
      </c>
      <c r="Y13" t="s">
        <v>2010</v>
      </c>
      <c r="Z13" t="s">
        <v>2011</v>
      </c>
      <c r="AA13" t="s">
        <v>1918</v>
      </c>
      <c r="AB13" t="s">
        <v>1918</v>
      </c>
      <c r="AC13" t="s">
        <v>1918</v>
      </c>
      <c r="AD13" t="s">
        <v>1918</v>
      </c>
      <c r="AE13" t="s">
        <v>1918</v>
      </c>
      <c r="AF13" t="s">
        <v>1918</v>
      </c>
      <c r="AG13">
        <v>78</v>
      </c>
      <c r="AH13">
        <v>125</v>
      </c>
      <c r="AI13">
        <v>141</v>
      </c>
      <c r="AJ13" t="s">
        <v>1918</v>
      </c>
      <c r="AK13" t="s">
        <v>1918</v>
      </c>
      <c r="AL13" t="s">
        <v>1918</v>
      </c>
      <c r="AM13" t="s">
        <v>1918</v>
      </c>
      <c r="AN13" t="s">
        <v>1918</v>
      </c>
      <c r="AO13" t="s">
        <v>1918</v>
      </c>
      <c r="AP13" t="s">
        <v>1918</v>
      </c>
      <c r="AQ13" t="s">
        <v>1918</v>
      </c>
      <c r="AR13" t="s">
        <v>1918</v>
      </c>
      <c r="AS13" t="s">
        <v>1918</v>
      </c>
      <c r="AT13" t="s">
        <v>2012</v>
      </c>
      <c r="AU13">
        <v>2018</v>
      </c>
      <c r="AV13">
        <v>198</v>
      </c>
      <c r="AW13" t="s">
        <v>1918</v>
      </c>
      <c r="AX13" t="s">
        <v>1918</v>
      </c>
      <c r="AY13" t="s">
        <v>1918</v>
      </c>
      <c r="AZ13" t="s">
        <v>1918</v>
      </c>
      <c r="BA13" t="s">
        <v>1918</v>
      </c>
      <c r="BB13">
        <v>940</v>
      </c>
      <c r="BC13">
        <v>961</v>
      </c>
      <c r="BD13" t="s">
        <v>1918</v>
      </c>
      <c r="BE13" t="s">
        <v>2013</v>
      </c>
      <c r="BF13" t="str">
        <f>HYPERLINK("http://dx.doi.org/10.1016/j.jclepro.2018.07.109","http://dx.doi.org/10.1016/j.jclepro.2018.07.109")</f>
        <v>http://dx.doi.org/10.1016/j.jclepro.2018.07.109</v>
      </c>
      <c r="BG13" t="s">
        <v>1918</v>
      </c>
      <c r="BH13" t="s">
        <v>1918</v>
      </c>
      <c r="BI13" t="s">
        <v>1918</v>
      </c>
      <c r="BJ13" t="s">
        <v>1918</v>
      </c>
      <c r="BK13" t="s">
        <v>1918</v>
      </c>
      <c r="BL13" t="s">
        <v>1918</v>
      </c>
      <c r="BM13" t="s">
        <v>1918</v>
      </c>
      <c r="BN13" t="s">
        <v>1918</v>
      </c>
      <c r="BO13" t="s">
        <v>1918</v>
      </c>
      <c r="BP13" t="s">
        <v>1918</v>
      </c>
      <c r="BQ13" t="s">
        <v>1918</v>
      </c>
      <c r="BR13" t="s">
        <v>1927</v>
      </c>
      <c r="BS13" t="s">
        <v>2014</v>
      </c>
      <c r="BT13" t="str">
        <f>HYPERLINK("https%3A%2F%2Fwww.webofscience.com%2Fwos%2Fwoscc%2Ffull-record%2FWOS:000442973100082","View Full Record in Web of Science")</f>
        <v>View Full Record in Web of Science</v>
      </c>
      <c r="BU13">
        <f>COUNTIF('오픈소스&amp;직접수집'!F:F,'wos(corecollection)_260528'!BE13)</f>
        <v>0</v>
      </c>
      <c r="BV13">
        <f>COUNTIF('오픈소스&amp;직접수집'!A:A,'wos(corecollection)_260528'!I13)</f>
        <v>0</v>
      </c>
      <c r="BW13">
        <f t="shared" si="0"/>
        <v>0</v>
      </c>
    </row>
    <row r="14" spans="1:75" x14ac:dyDescent="0.3">
      <c r="A14" s="4" t="s">
        <v>1917</v>
      </c>
      <c r="B14" t="s">
        <v>2015</v>
      </c>
      <c r="C14" t="s">
        <v>1918</v>
      </c>
      <c r="D14" t="s">
        <v>1918</v>
      </c>
      <c r="E14" t="s">
        <v>1918</v>
      </c>
      <c r="F14" t="s">
        <v>2016</v>
      </c>
      <c r="G14" t="s">
        <v>1918</v>
      </c>
      <c r="H14" t="s">
        <v>1918</v>
      </c>
      <c r="I14" t="s">
        <v>2017</v>
      </c>
      <c r="J14" t="s">
        <v>2018</v>
      </c>
      <c r="K14" t="s">
        <v>1918</v>
      </c>
      <c r="L14" t="s">
        <v>1918</v>
      </c>
      <c r="M14" t="s">
        <v>1918</v>
      </c>
      <c r="N14" t="s">
        <v>1920</v>
      </c>
      <c r="O14" t="s">
        <v>1918</v>
      </c>
      <c r="P14" t="s">
        <v>1918</v>
      </c>
      <c r="Q14" t="s">
        <v>1918</v>
      </c>
      <c r="R14" t="s">
        <v>1918</v>
      </c>
      <c r="S14" t="s">
        <v>1918</v>
      </c>
      <c r="T14" t="s">
        <v>1918</v>
      </c>
      <c r="U14" t="s">
        <v>1918</v>
      </c>
      <c r="V14" t="s">
        <v>2019</v>
      </c>
      <c r="W14" t="s">
        <v>2020</v>
      </c>
      <c r="X14" t="s">
        <v>1918</v>
      </c>
      <c r="Y14" t="s">
        <v>2021</v>
      </c>
      <c r="Z14" t="s">
        <v>2022</v>
      </c>
      <c r="AA14" t="s">
        <v>1918</v>
      </c>
      <c r="AB14" t="s">
        <v>1918</v>
      </c>
      <c r="AC14" t="s">
        <v>1918</v>
      </c>
      <c r="AD14" t="s">
        <v>1918</v>
      </c>
      <c r="AE14" t="s">
        <v>1918</v>
      </c>
      <c r="AF14" t="s">
        <v>1918</v>
      </c>
      <c r="AG14">
        <v>61</v>
      </c>
      <c r="AH14">
        <v>36</v>
      </c>
      <c r="AI14">
        <v>41</v>
      </c>
      <c r="AJ14" t="s">
        <v>1918</v>
      </c>
      <c r="AK14" t="s">
        <v>1918</v>
      </c>
      <c r="AL14" t="s">
        <v>1918</v>
      </c>
      <c r="AM14" t="s">
        <v>1918</v>
      </c>
      <c r="AN14" t="s">
        <v>1918</v>
      </c>
      <c r="AO14" t="s">
        <v>1918</v>
      </c>
      <c r="AP14" t="s">
        <v>1918</v>
      </c>
      <c r="AQ14" t="s">
        <v>1918</v>
      </c>
      <c r="AR14" t="s">
        <v>1918</v>
      </c>
      <c r="AS14" t="s">
        <v>1918</v>
      </c>
      <c r="AT14" t="s">
        <v>2023</v>
      </c>
      <c r="AU14">
        <v>2022</v>
      </c>
      <c r="AV14">
        <v>14</v>
      </c>
      <c r="AW14">
        <v>9</v>
      </c>
      <c r="AX14" t="s">
        <v>1918</v>
      </c>
      <c r="AY14" t="s">
        <v>1918</v>
      </c>
      <c r="AZ14" t="s">
        <v>1918</v>
      </c>
      <c r="BA14" t="s">
        <v>1918</v>
      </c>
      <c r="BB14" t="s">
        <v>1918</v>
      </c>
      <c r="BC14" t="s">
        <v>1918</v>
      </c>
      <c r="BD14">
        <v>4921</v>
      </c>
      <c r="BE14" t="s">
        <v>1489</v>
      </c>
      <c r="BF14" t="str">
        <f>HYPERLINK("http://dx.doi.org/10.3390/su14094921","http://dx.doi.org/10.3390/su14094921")</f>
        <v>http://dx.doi.org/10.3390/su14094921</v>
      </c>
      <c r="BG14" t="s">
        <v>1918</v>
      </c>
      <c r="BH14" t="s">
        <v>1918</v>
      </c>
      <c r="BI14" t="s">
        <v>1918</v>
      </c>
      <c r="BJ14" t="s">
        <v>1918</v>
      </c>
      <c r="BK14" t="s">
        <v>1918</v>
      </c>
      <c r="BL14" t="s">
        <v>1918</v>
      </c>
      <c r="BM14" t="s">
        <v>1918</v>
      </c>
      <c r="BN14" t="s">
        <v>1918</v>
      </c>
      <c r="BO14" t="s">
        <v>1918</v>
      </c>
      <c r="BP14" t="s">
        <v>1918</v>
      </c>
      <c r="BQ14" t="s">
        <v>1918</v>
      </c>
      <c r="BR14" t="s">
        <v>1927</v>
      </c>
      <c r="BS14" t="s">
        <v>2024</v>
      </c>
      <c r="BT14" t="str">
        <f>HYPERLINK("https%3A%2F%2Fwww.webofscience.com%2Fwos%2Fwoscc%2Ffull-record%2FWOS:000794598300001","View Full Record in Web of Science")</f>
        <v>View Full Record in Web of Science</v>
      </c>
      <c r="BU14">
        <f>COUNTIF('오픈소스&amp;직접수집'!F:F,'wos(corecollection)_260528'!BE14)</f>
        <v>1</v>
      </c>
      <c r="BV14">
        <f>COUNTIF('오픈소스&amp;직접수집'!A:A,'wos(corecollection)_260528'!I14)</f>
        <v>1</v>
      </c>
      <c r="BW14">
        <f t="shared" si="0"/>
        <v>2</v>
      </c>
    </row>
    <row r="15" spans="1:75" x14ac:dyDescent="0.3">
      <c r="A15" s="4" t="s">
        <v>1917</v>
      </c>
      <c r="B15" t="s">
        <v>2025</v>
      </c>
      <c r="C15" t="s">
        <v>1918</v>
      </c>
      <c r="D15" t="s">
        <v>1918</v>
      </c>
      <c r="E15" t="s">
        <v>1918</v>
      </c>
      <c r="F15" t="s">
        <v>2026</v>
      </c>
      <c r="G15" t="s">
        <v>1918</v>
      </c>
      <c r="H15" t="s">
        <v>1918</v>
      </c>
      <c r="I15" t="s">
        <v>2027</v>
      </c>
      <c r="J15" t="s">
        <v>2018</v>
      </c>
      <c r="K15" t="s">
        <v>1918</v>
      </c>
      <c r="L15" t="s">
        <v>1918</v>
      </c>
      <c r="M15" t="s">
        <v>1918</v>
      </c>
      <c r="N15" t="s">
        <v>2028</v>
      </c>
      <c r="O15" t="s">
        <v>1918</v>
      </c>
      <c r="P15" t="s">
        <v>1918</v>
      </c>
      <c r="Q15" t="s">
        <v>1918</v>
      </c>
      <c r="R15" t="s">
        <v>1918</v>
      </c>
      <c r="S15" t="s">
        <v>1918</v>
      </c>
      <c r="T15" t="s">
        <v>1918</v>
      </c>
      <c r="U15" t="s">
        <v>1918</v>
      </c>
      <c r="V15" t="s">
        <v>2029</v>
      </c>
      <c r="W15" t="s">
        <v>2030</v>
      </c>
      <c r="X15" t="s">
        <v>1918</v>
      </c>
      <c r="Y15" t="s">
        <v>2031</v>
      </c>
      <c r="Z15" t="s">
        <v>2032</v>
      </c>
      <c r="AA15" t="s">
        <v>1918</v>
      </c>
      <c r="AB15" t="s">
        <v>1918</v>
      </c>
      <c r="AC15" t="s">
        <v>1918</v>
      </c>
      <c r="AD15" t="s">
        <v>1918</v>
      </c>
      <c r="AE15" t="s">
        <v>1918</v>
      </c>
      <c r="AF15" t="s">
        <v>1918</v>
      </c>
      <c r="AG15">
        <v>200</v>
      </c>
      <c r="AH15">
        <v>83</v>
      </c>
      <c r="AI15">
        <v>103</v>
      </c>
      <c r="AJ15" t="s">
        <v>1918</v>
      </c>
      <c r="AK15" t="s">
        <v>1918</v>
      </c>
      <c r="AL15" t="s">
        <v>1918</v>
      </c>
      <c r="AM15" t="s">
        <v>1918</v>
      </c>
      <c r="AN15" t="s">
        <v>1918</v>
      </c>
      <c r="AO15" t="s">
        <v>1918</v>
      </c>
      <c r="AP15" t="s">
        <v>1918</v>
      </c>
      <c r="AQ15" t="s">
        <v>1918</v>
      </c>
      <c r="AR15" t="s">
        <v>1918</v>
      </c>
      <c r="AS15" t="s">
        <v>1918</v>
      </c>
      <c r="AT15" t="s">
        <v>2033</v>
      </c>
      <c r="AU15">
        <v>2017</v>
      </c>
      <c r="AV15">
        <v>9</v>
      </c>
      <c r="AW15">
        <v>11</v>
      </c>
      <c r="AX15" t="s">
        <v>1918</v>
      </c>
      <c r="AY15" t="s">
        <v>1918</v>
      </c>
      <c r="AZ15" t="s">
        <v>1918</v>
      </c>
      <c r="BA15" t="s">
        <v>1918</v>
      </c>
      <c r="BB15" t="s">
        <v>1918</v>
      </c>
      <c r="BC15" t="s">
        <v>1918</v>
      </c>
      <c r="BD15">
        <v>2082</v>
      </c>
      <c r="BE15" t="s">
        <v>2034</v>
      </c>
      <c r="BF15" t="str">
        <f>HYPERLINK("http://dx.doi.org/10.3390/su9112082","http://dx.doi.org/10.3390/su9112082")</f>
        <v>http://dx.doi.org/10.3390/su9112082</v>
      </c>
      <c r="BG15" t="s">
        <v>1918</v>
      </c>
      <c r="BH15" t="s">
        <v>1918</v>
      </c>
      <c r="BI15" t="s">
        <v>1918</v>
      </c>
      <c r="BJ15" t="s">
        <v>1918</v>
      </c>
      <c r="BK15" t="s">
        <v>1918</v>
      </c>
      <c r="BL15" t="s">
        <v>1918</v>
      </c>
      <c r="BM15" t="s">
        <v>1918</v>
      </c>
      <c r="BN15" t="s">
        <v>1918</v>
      </c>
      <c r="BO15" t="s">
        <v>1918</v>
      </c>
      <c r="BP15" t="s">
        <v>1918</v>
      </c>
      <c r="BQ15" t="s">
        <v>1918</v>
      </c>
      <c r="BR15" t="s">
        <v>1927</v>
      </c>
      <c r="BS15" t="s">
        <v>2035</v>
      </c>
      <c r="BT15" t="str">
        <f>HYPERLINK("https%3A%2F%2Fwww.webofscience.com%2Fwos%2Fwoscc%2Ffull-record%2FWOS:000416793400161","View Full Record in Web of Science")</f>
        <v>View Full Record in Web of Science</v>
      </c>
      <c r="BU15">
        <f>COUNTIF('오픈소스&amp;직접수집'!F:F,'wos(corecollection)_260528'!BE15)</f>
        <v>0</v>
      </c>
      <c r="BV15">
        <f>COUNTIF('오픈소스&amp;직접수집'!A:A,'wos(corecollection)_260528'!I15)</f>
        <v>0</v>
      </c>
      <c r="BW15">
        <f t="shared" si="0"/>
        <v>0</v>
      </c>
    </row>
    <row r="16" spans="1:75" x14ac:dyDescent="0.3">
      <c r="A16" s="4" t="s">
        <v>1917</v>
      </c>
      <c r="B16" t="s">
        <v>1737</v>
      </c>
      <c r="C16" t="s">
        <v>1918</v>
      </c>
      <c r="D16" t="s">
        <v>1918</v>
      </c>
      <c r="E16" t="s">
        <v>1918</v>
      </c>
      <c r="F16" t="s">
        <v>2036</v>
      </c>
      <c r="G16" t="s">
        <v>1918</v>
      </c>
      <c r="H16" t="s">
        <v>1918</v>
      </c>
      <c r="I16" t="s">
        <v>1685</v>
      </c>
      <c r="J16" t="s">
        <v>1763</v>
      </c>
      <c r="K16" t="s">
        <v>1918</v>
      </c>
      <c r="L16" t="s">
        <v>1918</v>
      </c>
      <c r="M16" t="s">
        <v>1918</v>
      </c>
      <c r="N16" t="s">
        <v>1920</v>
      </c>
      <c r="O16" t="s">
        <v>1918</v>
      </c>
      <c r="P16" t="s">
        <v>1918</v>
      </c>
      <c r="Q16" t="s">
        <v>1918</v>
      </c>
      <c r="R16" t="s">
        <v>1918</v>
      </c>
      <c r="S16" t="s">
        <v>1918</v>
      </c>
      <c r="T16" t="s">
        <v>1918</v>
      </c>
      <c r="U16" t="s">
        <v>1918</v>
      </c>
      <c r="V16" t="s">
        <v>1716</v>
      </c>
      <c r="W16" t="s">
        <v>2037</v>
      </c>
      <c r="X16" t="s">
        <v>1918</v>
      </c>
      <c r="Y16" t="s">
        <v>2038</v>
      </c>
      <c r="Z16" t="s">
        <v>2039</v>
      </c>
      <c r="AA16" t="s">
        <v>1918</v>
      </c>
      <c r="AB16" t="s">
        <v>1918</v>
      </c>
      <c r="AC16" t="s">
        <v>1918</v>
      </c>
      <c r="AD16" t="s">
        <v>1918</v>
      </c>
      <c r="AE16" t="s">
        <v>1918</v>
      </c>
      <c r="AF16" t="s">
        <v>1918</v>
      </c>
      <c r="AG16">
        <v>40</v>
      </c>
      <c r="AH16">
        <v>6</v>
      </c>
      <c r="AI16">
        <v>7</v>
      </c>
      <c r="AJ16" t="s">
        <v>1918</v>
      </c>
      <c r="AK16" t="s">
        <v>1918</v>
      </c>
      <c r="AL16" t="s">
        <v>1918</v>
      </c>
      <c r="AM16" t="s">
        <v>1918</v>
      </c>
      <c r="AN16" t="s">
        <v>1918</v>
      </c>
      <c r="AO16" t="s">
        <v>1918</v>
      </c>
      <c r="AP16" t="s">
        <v>1918</v>
      </c>
      <c r="AQ16" t="s">
        <v>1918</v>
      </c>
      <c r="AR16" t="s">
        <v>1918</v>
      </c>
      <c r="AS16" t="s">
        <v>1918</v>
      </c>
      <c r="AT16" t="s">
        <v>1973</v>
      </c>
      <c r="AU16">
        <v>2023</v>
      </c>
      <c r="AV16">
        <v>41</v>
      </c>
      <c r="AW16">
        <v>6</v>
      </c>
      <c r="AX16" t="s">
        <v>1918</v>
      </c>
      <c r="AY16" t="s">
        <v>1918</v>
      </c>
      <c r="AZ16" t="s">
        <v>1918</v>
      </c>
      <c r="BA16" t="s">
        <v>1918</v>
      </c>
      <c r="BB16">
        <v>434</v>
      </c>
      <c r="BC16">
        <v>441</v>
      </c>
      <c r="BD16" t="s">
        <v>1918</v>
      </c>
      <c r="BE16" t="s">
        <v>2040</v>
      </c>
      <c r="BF16" t="str">
        <f>HYPERLINK("http://dx.doi.org/10.1097/CIN.0000000000000971","http://dx.doi.org/10.1097/CIN.0000000000000971")</f>
        <v>http://dx.doi.org/10.1097/CIN.0000000000000971</v>
      </c>
      <c r="BG16" t="s">
        <v>1918</v>
      </c>
      <c r="BH16" t="s">
        <v>1918</v>
      </c>
      <c r="BI16" t="s">
        <v>1918</v>
      </c>
      <c r="BJ16" t="s">
        <v>1918</v>
      </c>
      <c r="BK16" t="s">
        <v>1918</v>
      </c>
      <c r="BL16" t="s">
        <v>1918</v>
      </c>
      <c r="BM16" t="s">
        <v>1918</v>
      </c>
      <c r="BN16" t="s">
        <v>1918</v>
      </c>
      <c r="BO16" t="s">
        <v>1918</v>
      </c>
      <c r="BP16" t="s">
        <v>1918</v>
      </c>
      <c r="BQ16" t="s">
        <v>1918</v>
      </c>
      <c r="BR16" t="s">
        <v>1927</v>
      </c>
      <c r="BS16" t="s">
        <v>2041</v>
      </c>
      <c r="BT16" t="str">
        <f>HYPERLINK("https%3A%2F%2Fwww.webofscience.com%2Fwos%2Fwoscc%2Ffull-record%2FWOS:001000492200010","View Full Record in Web of Science")</f>
        <v>View Full Record in Web of Science</v>
      </c>
      <c r="BU16">
        <f>COUNTIF('오픈소스&amp;직접수집'!F:F,'wos(corecollection)_260528'!BE16)</f>
        <v>1</v>
      </c>
      <c r="BV16">
        <f>COUNTIF('오픈소스&amp;직접수집'!A:A,'wos(corecollection)_260528'!I16)</f>
        <v>1</v>
      </c>
      <c r="BW16">
        <f t="shared" si="0"/>
        <v>2</v>
      </c>
    </row>
    <row r="17" spans="1:75" x14ac:dyDescent="0.3">
      <c r="A17" s="4" t="s">
        <v>1917</v>
      </c>
      <c r="B17" t="s">
        <v>1736</v>
      </c>
      <c r="C17" t="s">
        <v>1918</v>
      </c>
      <c r="D17" t="s">
        <v>1918</v>
      </c>
      <c r="E17" t="s">
        <v>1918</v>
      </c>
      <c r="F17" t="s">
        <v>604</v>
      </c>
      <c r="G17" t="s">
        <v>1918</v>
      </c>
      <c r="H17" t="s">
        <v>1918</v>
      </c>
      <c r="I17" t="s">
        <v>1684</v>
      </c>
      <c r="J17" t="s">
        <v>1777</v>
      </c>
      <c r="K17" t="s">
        <v>1918</v>
      </c>
      <c r="L17" t="s">
        <v>1918</v>
      </c>
      <c r="M17" t="s">
        <v>1918</v>
      </c>
      <c r="N17" t="s">
        <v>1920</v>
      </c>
      <c r="O17" t="s">
        <v>1918</v>
      </c>
      <c r="P17" t="s">
        <v>1918</v>
      </c>
      <c r="Q17" t="s">
        <v>1918</v>
      </c>
      <c r="R17" t="s">
        <v>1918</v>
      </c>
      <c r="S17" t="s">
        <v>1918</v>
      </c>
      <c r="T17" t="s">
        <v>1918</v>
      </c>
      <c r="U17" t="s">
        <v>1918</v>
      </c>
      <c r="V17" t="s">
        <v>1715</v>
      </c>
      <c r="W17" t="s">
        <v>2042</v>
      </c>
      <c r="X17" t="s">
        <v>1918</v>
      </c>
      <c r="Y17" t="s">
        <v>2043</v>
      </c>
      <c r="Z17" t="s">
        <v>2044</v>
      </c>
      <c r="AA17" t="s">
        <v>1918</v>
      </c>
      <c r="AB17" t="s">
        <v>1918</v>
      </c>
      <c r="AC17" t="s">
        <v>1918</v>
      </c>
      <c r="AD17" t="s">
        <v>1918</v>
      </c>
      <c r="AE17" t="s">
        <v>1918</v>
      </c>
      <c r="AF17" t="s">
        <v>1918</v>
      </c>
      <c r="AG17">
        <v>39</v>
      </c>
      <c r="AH17">
        <v>6</v>
      </c>
      <c r="AI17">
        <v>7</v>
      </c>
      <c r="AJ17" t="s">
        <v>1918</v>
      </c>
      <c r="AK17" t="s">
        <v>1918</v>
      </c>
      <c r="AL17" t="s">
        <v>1918</v>
      </c>
      <c r="AM17" t="s">
        <v>1918</v>
      </c>
      <c r="AN17" t="s">
        <v>1918</v>
      </c>
      <c r="AO17" t="s">
        <v>1918</v>
      </c>
      <c r="AP17" t="s">
        <v>1918</v>
      </c>
      <c r="AQ17" t="s">
        <v>1918</v>
      </c>
      <c r="AR17" t="s">
        <v>1918</v>
      </c>
      <c r="AS17" t="s">
        <v>1918</v>
      </c>
      <c r="AT17" t="s">
        <v>1994</v>
      </c>
      <c r="AU17">
        <v>2023</v>
      </c>
      <c r="AV17">
        <v>166</v>
      </c>
      <c r="AW17" t="s">
        <v>1918</v>
      </c>
      <c r="AX17" t="s">
        <v>1918</v>
      </c>
      <c r="AY17" t="s">
        <v>1918</v>
      </c>
      <c r="AZ17" t="s">
        <v>1918</v>
      </c>
      <c r="BA17" t="s">
        <v>1918</v>
      </c>
      <c r="BB17" t="s">
        <v>1918</v>
      </c>
      <c r="BC17" t="s">
        <v>1918</v>
      </c>
      <c r="BD17">
        <v>106239</v>
      </c>
      <c r="BE17" t="s">
        <v>2045</v>
      </c>
      <c r="BF17" t="str">
        <f>HYPERLINK("http://dx.doi.org/10.1016/j.ssci.2023.106239","http://dx.doi.org/10.1016/j.ssci.2023.106239")</f>
        <v>http://dx.doi.org/10.1016/j.ssci.2023.106239</v>
      </c>
      <c r="BG17" t="s">
        <v>1918</v>
      </c>
      <c r="BH17" t="s">
        <v>2046</v>
      </c>
      <c r="BI17" t="s">
        <v>1918</v>
      </c>
      <c r="BJ17" t="s">
        <v>1918</v>
      </c>
      <c r="BK17" t="s">
        <v>1918</v>
      </c>
      <c r="BL17" t="s">
        <v>1918</v>
      </c>
      <c r="BM17" t="s">
        <v>1918</v>
      </c>
      <c r="BN17" t="s">
        <v>1918</v>
      </c>
      <c r="BO17" t="s">
        <v>1918</v>
      </c>
      <c r="BP17" t="s">
        <v>1918</v>
      </c>
      <c r="BQ17" t="s">
        <v>1918</v>
      </c>
      <c r="BR17" t="s">
        <v>1927</v>
      </c>
      <c r="BS17" t="s">
        <v>2047</v>
      </c>
      <c r="BT17" t="str">
        <f>HYPERLINK("https%3A%2F%2Fwww.webofscience.com%2Fwos%2Fwoscc%2Ffull-record%2FWOS:001030993100001","View Full Record in Web of Science")</f>
        <v>View Full Record in Web of Science</v>
      </c>
      <c r="BU17">
        <f>COUNTIF('오픈소스&amp;직접수집'!F:F,'wos(corecollection)_260528'!BE17)</f>
        <v>0</v>
      </c>
      <c r="BV17">
        <f>COUNTIF('오픈소스&amp;직접수집'!A:A,'wos(corecollection)_260528'!I17)</f>
        <v>1</v>
      </c>
      <c r="BW17">
        <f t="shared" si="0"/>
        <v>1</v>
      </c>
    </row>
    <row r="18" spans="1:75" x14ac:dyDescent="0.3">
      <c r="A18" s="4" t="s">
        <v>1917</v>
      </c>
      <c r="B18" t="s">
        <v>2048</v>
      </c>
      <c r="C18" t="s">
        <v>1918</v>
      </c>
      <c r="D18" t="s">
        <v>1918</v>
      </c>
      <c r="E18" t="s">
        <v>1918</v>
      </c>
      <c r="F18" t="s">
        <v>2049</v>
      </c>
      <c r="G18" t="s">
        <v>1918</v>
      </c>
      <c r="H18" t="s">
        <v>1918</v>
      </c>
      <c r="I18" t="s">
        <v>2050</v>
      </c>
      <c r="J18" t="s">
        <v>2007</v>
      </c>
      <c r="K18" t="s">
        <v>1918</v>
      </c>
      <c r="L18" t="s">
        <v>1918</v>
      </c>
      <c r="M18" t="s">
        <v>1918</v>
      </c>
      <c r="N18" t="s">
        <v>1920</v>
      </c>
      <c r="O18" t="s">
        <v>1918</v>
      </c>
      <c r="P18" t="s">
        <v>1918</v>
      </c>
      <c r="Q18" t="s">
        <v>1918</v>
      </c>
      <c r="R18" t="s">
        <v>1918</v>
      </c>
      <c r="S18" t="s">
        <v>1918</v>
      </c>
      <c r="T18" t="s">
        <v>1918</v>
      </c>
      <c r="U18" t="s">
        <v>1918</v>
      </c>
      <c r="V18" t="s">
        <v>2051</v>
      </c>
      <c r="W18" t="s">
        <v>2052</v>
      </c>
      <c r="X18" t="s">
        <v>1918</v>
      </c>
      <c r="Y18" t="s">
        <v>2053</v>
      </c>
      <c r="Z18" t="s">
        <v>2054</v>
      </c>
      <c r="AA18" t="s">
        <v>1918</v>
      </c>
      <c r="AB18" t="s">
        <v>1918</v>
      </c>
      <c r="AC18" t="s">
        <v>1918</v>
      </c>
      <c r="AD18" t="s">
        <v>1918</v>
      </c>
      <c r="AE18" t="s">
        <v>1918</v>
      </c>
      <c r="AF18" t="s">
        <v>1918</v>
      </c>
      <c r="AG18">
        <v>69</v>
      </c>
      <c r="AH18">
        <v>73</v>
      </c>
      <c r="AI18">
        <v>82</v>
      </c>
      <c r="AJ18" t="s">
        <v>1918</v>
      </c>
      <c r="AK18" t="s">
        <v>1918</v>
      </c>
      <c r="AL18" t="s">
        <v>1918</v>
      </c>
      <c r="AM18" t="s">
        <v>1918</v>
      </c>
      <c r="AN18" t="s">
        <v>1918</v>
      </c>
      <c r="AO18" t="s">
        <v>1918</v>
      </c>
      <c r="AP18" t="s">
        <v>1918</v>
      </c>
      <c r="AQ18" t="s">
        <v>1918</v>
      </c>
      <c r="AR18" t="s">
        <v>1918</v>
      </c>
      <c r="AS18" t="s">
        <v>1918</v>
      </c>
      <c r="AT18" t="s">
        <v>2055</v>
      </c>
      <c r="AU18">
        <v>2017</v>
      </c>
      <c r="AV18">
        <v>154</v>
      </c>
      <c r="AW18" t="s">
        <v>1918</v>
      </c>
      <c r="AX18" t="s">
        <v>1918</v>
      </c>
      <c r="AY18" t="s">
        <v>1918</v>
      </c>
      <c r="AZ18" t="s">
        <v>1918</v>
      </c>
      <c r="BA18" t="s">
        <v>1918</v>
      </c>
      <c r="BB18">
        <v>318</v>
      </c>
      <c r="BC18">
        <v>329</v>
      </c>
      <c r="BD18" t="s">
        <v>1918</v>
      </c>
      <c r="BE18" t="s">
        <v>2056</v>
      </c>
      <c r="BF18" t="str">
        <f>HYPERLINK("http://dx.doi.org/10.1016/j.jclepro.2017.04.007","http://dx.doi.org/10.1016/j.jclepro.2017.04.007")</f>
        <v>http://dx.doi.org/10.1016/j.jclepro.2017.04.007</v>
      </c>
      <c r="BG18" t="s">
        <v>1918</v>
      </c>
      <c r="BH18" t="s">
        <v>1918</v>
      </c>
      <c r="BI18" t="s">
        <v>1918</v>
      </c>
      <c r="BJ18" t="s">
        <v>1918</v>
      </c>
      <c r="BK18" t="s">
        <v>1918</v>
      </c>
      <c r="BL18" t="s">
        <v>1918</v>
      </c>
      <c r="BM18" t="s">
        <v>1918</v>
      </c>
      <c r="BN18" t="s">
        <v>1918</v>
      </c>
      <c r="BO18" t="s">
        <v>1918</v>
      </c>
      <c r="BP18" t="s">
        <v>1918</v>
      </c>
      <c r="BQ18" t="s">
        <v>1918</v>
      </c>
      <c r="BR18" t="s">
        <v>1927</v>
      </c>
      <c r="BS18" t="s">
        <v>2057</v>
      </c>
      <c r="BT18" t="str">
        <f>HYPERLINK("https%3A%2F%2Fwww.webofscience.com%2Fwos%2Fwoscc%2Ffull-record%2FWOS:000401201900031","View Full Record in Web of Science")</f>
        <v>View Full Record in Web of Science</v>
      </c>
      <c r="BU18">
        <f>COUNTIF('오픈소스&amp;직접수집'!F:F,'wos(corecollection)_260528'!BE18)</f>
        <v>0</v>
      </c>
      <c r="BV18">
        <f>COUNTIF('오픈소스&amp;직접수집'!A:A,'wos(corecollection)_260528'!I18)</f>
        <v>0</v>
      </c>
      <c r="BW18">
        <f t="shared" si="0"/>
        <v>0</v>
      </c>
    </row>
    <row r="19" spans="1:75" x14ac:dyDescent="0.3">
      <c r="A19" s="4" t="s">
        <v>1917</v>
      </c>
      <c r="B19" t="s">
        <v>2058</v>
      </c>
      <c r="C19" t="s">
        <v>1918</v>
      </c>
      <c r="D19" t="s">
        <v>1918</v>
      </c>
      <c r="E19" t="s">
        <v>1918</v>
      </c>
      <c r="F19" t="s">
        <v>2059</v>
      </c>
      <c r="G19" t="s">
        <v>1918</v>
      </c>
      <c r="H19" t="s">
        <v>1918</v>
      </c>
      <c r="I19" t="s">
        <v>1209</v>
      </c>
      <c r="J19" t="s">
        <v>1763</v>
      </c>
      <c r="K19" t="s">
        <v>1918</v>
      </c>
      <c r="L19" t="s">
        <v>1918</v>
      </c>
      <c r="M19" t="s">
        <v>1918</v>
      </c>
      <c r="N19" t="s">
        <v>1920</v>
      </c>
      <c r="O19" t="s">
        <v>1918</v>
      </c>
      <c r="P19" t="s">
        <v>1918</v>
      </c>
      <c r="Q19" t="s">
        <v>1918</v>
      </c>
      <c r="R19" t="s">
        <v>1918</v>
      </c>
      <c r="S19" t="s">
        <v>1918</v>
      </c>
      <c r="T19" t="s">
        <v>1918</v>
      </c>
      <c r="U19" t="s">
        <v>1918</v>
      </c>
      <c r="V19" t="s">
        <v>1513</v>
      </c>
      <c r="W19" t="s">
        <v>2060</v>
      </c>
      <c r="X19" t="s">
        <v>1918</v>
      </c>
      <c r="Y19" t="s">
        <v>2061</v>
      </c>
      <c r="Z19" t="s">
        <v>2062</v>
      </c>
      <c r="AA19" t="s">
        <v>1918</v>
      </c>
      <c r="AB19" t="s">
        <v>1918</v>
      </c>
      <c r="AC19" t="s">
        <v>1918</v>
      </c>
      <c r="AD19" t="s">
        <v>1918</v>
      </c>
      <c r="AE19" t="s">
        <v>1918</v>
      </c>
      <c r="AF19" t="s">
        <v>1918</v>
      </c>
      <c r="AG19">
        <v>37</v>
      </c>
      <c r="AH19">
        <v>2</v>
      </c>
      <c r="AI19">
        <v>2</v>
      </c>
      <c r="AJ19" t="s">
        <v>1918</v>
      </c>
      <c r="AK19" t="s">
        <v>1918</v>
      </c>
      <c r="AL19" t="s">
        <v>1918</v>
      </c>
      <c r="AM19" t="s">
        <v>1918</v>
      </c>
      <c r="AN19" t="s">
        <v>1918</v>
      </c>
      <c r="AO19" t="s">
        <v>1918</v>
      </c>
      <c r="AP19" t="s">
        <v>1918</v>
      </c>
      <c r="AQ19" t="s">
        <v>1918</v>
      </c>
      <c r="AR19" t="s">
        <v>1918</v>
      </c>
      <c r="AS19" t="s">
        <v>1918</v>
      </c>
      <c r="AT19" t="s">
        <v>1954</v>
      </c>
      <c r="AU19">
        <v>2023</v>
      </c>
      <c r="AV19">
        <v>41</v>
      </c>
      <c r="AW19">
        <v>9</v>
      </c>
      <c r="AX19" t="s">
        <v>1918</v>
      </c>
      <c r="AY19" t="s">
        <v>1918</v>
      </c>
      <c r="AZ19" t="s">
        <v>1918</v>
      </c>
      <c r="BA19" t="s">
        <v>1918</v>
      </c>
      <c r="BB19">
        <v>639</v>
      </c>
      <c r="BC19">
        <v>646</v>
      </c>
      <c r="BD19" t="s">
        <v>1918</v>
      </c>
      <c r="BE19" t="s">
        <v>2063</v>
      </c>
      <c r="BF19" t="str">
        <f>HYPERLINK("http://dx.doi.org/10.1097/CIN.0000000000000993","http://dx.doi.org/10.1097/CIN.0000000000000993")</f>
        <v>http://dx.doi.org/10.1097/CIN.0000000000000993</v>
      </c>
      <c r="BG19" t="s">
        <v>1918</v>
      </c>
      <c r="BH19" t="s">
        <v>1918</v>
      </c>
      <c r="BI19" t="s">
        <v>1918</v>
      </c>
      <c r="BJ19" t="s">
        <v>1918</v>
      </c>
      <c r="BK19" t="s">
        <v>1918</v>
      </c>
      <c r="BL19" t="s">
        <v>1918</v>
      </c>
      <c r="BM19" t="s">
        <v>1918</v>
      </c>
      <c r="BN19" t="s">
        <v>1918</v>
      </c>
      <c r="BO19" t="s">
        <v>1918</v>
      </c>
      <c r="BP19" t="s">
        <v>1918</v>
      </c>
      <c r="BQ19" t="s">
        <v>1918</v>
      </c>
      <c r="BR19" t="s">
        <v>1927</v>
      </c>
      <c r="BS19" t="s">
        <v>2064</v>
      </c>
      <c r="BT19" t="str">
        <f>HYPERLINK("https%3A%2F%2Fwww.webofscience.com%2Fwos%2Fwoscc%2Ffull-record%2FWOS:001064261000003","View Full Record in Web of Science")</f>
        <v>View Full Record in Web of Science</v>
      </c>
      <c r="BU19">
        <f>COUNTIF('오픈소스&amp;직접수집'!F:F,'wos(corecollection)_260528'!BE19)</f>
        <v>1</v>
      </c>
      <c r="BV19">
        <f>COUNTIF('오픈소스&amp;직접수집'!A:A,'wos(corecollection)_260528'!I19)</f>
        <v>1</v>
      </c>
      <c r="BW19">
        <f t="shared" si="0"/>
        <v>2</v>
      </c>
    </row>
    <row r="20" spans="1:75" x14ac:dyDescent="0.3">
      <c r="A20" s="4" t="s">
        <v>1917</v>
      </c>
      <c r="B20" t="s">
        <v>2065</v>
      </c>
      <c r="C20" t="s">
        <v>1918</v>
      </c>
      <c r="D20" t="s">
        <v>1918</v>
      </c>
      <c r="E20" t="s">
        <v>1918</v>
      </c>
      <c r="F20" t="s">
        <v>2066</v>
      </c>
      <c r="G20" t="s">
        <v>1918</v>
      </c>
      <c r="H20" t="s">
        <v>1918</v>
      </c>
      <c r="I20" t="s">
        <v>1204</v>
      </c>
      <c r="J20" t="s">
        <v>1763</v>
      </c>
      <c r="K20" t="s">
        <v>1918</v>
      </c>
      <c r="L20" t="s">
        <v>1918</v>
      </c>
      <c r="M20" t="s">
        <v>1918</v>
      </c>
      <c r="N20" t="s">
        <v>1920</v>
      </c>
      <c r="O20" t="s">
        <v>1918</v>
      </c>
      <c r="P20" t="s">
        <v>1918</v>
      </c>
      <c r="Q20" t="s">
        <v>1918</v>
      </c>
      <c r="R20" t="s">
        <v>1918</v>
      </c>
      <c r="S20" t="s">
        <v>1918</v>
      </c>
      <c r="T20" t="s">
        <v>1918</v>
      </c>
      <c r="U20" t="s">
        <v>1918</v>
      </c>
      <c r="V20" t="s">
        <v>2067</v>
      </c>
      <c r="W20" t="s">
        <v>2068</v>
      </c>
      <c r="X20" t="s">
        <v>1918</v>
      </c>
      <c r="Y20" t="s">
        <v>2069</v>
      </c>
      <c r="Z20" t="s">
        <v>2070</v>
      </c>
      <c r="AA20" t="s">
        <v>1918</v>
      </c>
      <c r="AB20" t="s">
        <v>1918</v>
      </c>
      <c r="AC20" t="s">
        <v>1918</v>
      </c>
      <c r="AD20" t="s">
        <v>1918</v>
      </c>
      <c r="AE20" t="s">
        <v>1918</v>
      </c>
      <c r="AF20" t="s">
        <v>1918</v>
      </c>
      <c r="AG20">
        <v>40</v>
      </c>
      <c r="AH20">
        <v>2</v>
      </c>
      <c r="AI20">
        <v>4</v>
      </c>
      <c r="AJ20" t="s">
        <v>1918</v>
      </c>
      <c r="AK20" t="s">
        <v>1918</v>
      </c>
      <c r="AL20" t="s">
        <v>1918</v>
      </c>
      <c r="AM20" t="s">
        <v>1918</v>
      </c>
      <c r="AN20" t="s">
        <v>1918</v>
      </c>
      <c r="AO20" t="s">
        <v>1918</v>
      </c>
      <c r="AP20" t="s">
        <v>1918</v>
      </c>
      <c r="AQ20" t="s">
        <v>1918</v>
      </c>
      <c r="AR20" t="s">
        <v>1918</v>
      </c>
      <c r="AS20" t="s">
        <v>1918</v>
      </c>
      <c r="AT20" t="s">
        <v>1994</v>
      </c>
      <c r="AU20">
        <v>2023</v>
      </c>
      <c r="AV20">
        <v>41</v>
      </c>
      <c r="AW20">
        <v>10</v>
      </c>
      <c r="AX20" t="s">
        <v>1918</v>
      </c>
      <c r="AY20" t="s">
        <v>1918</v>
      </c>
      <c r="AZ20" t="s">
        <v>1918</v>
      </c>
      <c r="BA20" t="s">
        <v>1918</v>
      </c>
      <c r="BB20">
        <v>780</v>
      </c>
      <c r="BC20">
        <v>788</v>
      </c>
      <c r="BD20" t="s">
        <v>1918</v>
      </c>
      <c r="BE20" t="s">
        <v>2071</v>
      </c>
      <c r="BF20" t="str">
        <f>HYPERLINK("http://dx.doi.org/10.1097/CIN.0000000000001040","http://dx.doi.org/10.1097/CIN.0000000000001040")</f>
        <v>http://dx.doi.org/10.1097/CIN.0000000000001040</v>
      </c>
      <c r="BG20" t="s">
        <v>1918</v>
      </c>
      <c r="BH20" t="s">
        <v>1918</v>
      </c>
      <c r="BI20" t="s">
        <v>1918</v>
      </c>
      <c r="BJ20" t="s">
        <v>1918</v>
      </c>
      <c r="BK20" t="s">
        <v>1918</v>
      </c>
      <c r="BL20" t="s">
        <v>1918</v>
      </c>
      <c r="BM20" t="s">
        <v>1918</v>
      </c>
      <c r="BN20" t="s">
        <v>1918</v>
      </c>
      <c r="BO20" t="s">
        <v>1918</v>
      </c>
      <c r="BP20" t="s">
        <v>1918</v>
      </c>
      <c r="BQ20" t="s">
        <v>1918</v>
      </c>
      <c r="BR20" t="s">
        <v>1927</v>
      </c>
      <c r="BS20" t="s">
        <v>2072</v>
      </c>
      <c r="BT20" t="str">
        <f>HYPERLINK("https%3A%2F%2Fwww.webofscience.com%2Fwos%2Fwoscc%2Ffull-record%2FWOS:001085260500007","View Full Record in Web of Science")</f>
        <v>View Full Record in Web of Science</v>
      </c>
      <c r="BU20">
        <f>COUNTIF('오픈소스&amp;직접수집'!F:F,'wos(corecollection)_260528'!BE20)</f>
        <v>1</v>
      </c>
      <c r="BV20">
        <f>COUNTIF('오픈소스&amp;직접수집'!A:A,'wos(corecollection)_260528'!I20)</f>
        <v>1</v>
      </c>
      <c r="BW20">
        <f t="shared" si="0"/>
        <v>2</v>
      </c>
    </row>
    <row r="21" spans="1:75" x14ac:dyDescent="0.3">
      <c r="A21" s="4" t="s">
        <v>1917</v>
      </c>
      <c r="B21" t="s">
        <v>1738</v>
      </c>
      <c r="C21" t="s">
        <v>1918</v>
      </c>
      <c r="D21" t="s">
        <v>1918</v>
      </c>
      <c r="E21" t="s">
        <v>1918</v>
      </c>
      <c r="F21" t="s">
        <v>2073</v>
      </c>
      <c r="G21" t="s">
        <v>1918</v>
      </c>
      <c r="H21" t="s">
        <v>1918</v>
      </c>
      <c r="I21" t="s">
        <v>1686</v>
      </c>
      <c r="J21" t="s">
        <v>1772</v>
      </c>
      <c r="K21" t="s">
        <v>1918</v>
      </c>
      <c r="L21" t="s">
        <v>1918</v>
      </c>
      <c r="M21" t="s">
        <v>1918</v>
      </c>
      <c r="N21" t="s">
        <v>1920</v>
      </c>
      <c r="O21" t="s">
        <v>1918</v>
      </c>
      <c r="P21" t="s">
        <v>1918</v>
      </c>
      <c r="Q21" t="s">
        <v>1918</v>
      </c>
      <c r="R21" t="s">
        <v>1918</v>
      </c>
      <c r="S21" t="s">
        <v>1918</v>
      </c>
      <c r="T21" t="s">
        <v>1918</v>
      </c>
      <c r="U21" t="s">
        <v>1918</v>
      </c>
      <c r="V21" t="s">
        <v>1717</v>
      </c>
      <c r="W21" t="s">
        <v>2074</v>
      </c>
      <c r="X21" t="s">
        <v>1918</v>
      </c>
      <c r="Y21" t="s">
        <v>2075</v>
      </c>
      <c r="Z21" t="s">
        <v>2076</v>
      </c>
      <c r="AA21" t="s">
        <v>1918</v>
      </c>
      <c r="AB21" t="s">
        <v>1918</v>
      </c>
      <c r="AC21" t="s">
        <v>1918</v>
      </c>
      <c r="AD21" t="s">
        <v>1918</v>
      </c>
      <c r="AE21" t="s">
        <v>1918</v>
      </c>
      <c r="AF21" t="s">
        <v>1918</v>
      </c>
      <c r="AG21">
        <v>50</v>
      </c>
      <c r="AH21">
        <v>2</v>
      </c>
      <c r="AI21">
        <v>3</v>
      </c>
      <c r="AJ21" t="s">
        <v>1918</v>
      </c>
      <c r="AK21" t="s">
        <v>1918</v>
      </c>
      <c r="AL21" t="s">
        <v>1918</v>
      </c>
      <c r="AM21" t="s">
        <v>1918</v>
      </c>
      <c r="AN21" t="s">
        <v>1918</v>
      </c>
      <c r="AO21" t="s">
        <v>1918</v>
      </c>
      <c r="AP21" t="s">
        <v>1918</v>
      </c>
      <c r="AQ21" t="s">
        <v>1918</v>
      </c>
      <c r="AR21" t="s">
        <v>1918</v>
      </c>
      <c r="AS21" t="s">
        <v>1918</v>
      </c>
      <c r="AT21" t="s">
        <v>2077</v>
      </c>
      <c r="AU21">
        <v>2023</v>
      </c>
      <c r="AV21">
        <v>53</v>
      </c>
      <c r="AW21">
        <v>1</v>
      </c>
      <c r="AX21" t="s">
        <v>1918</v>
      </c>
      <c r="AY21" t="s">
        <v>1918</v>
      </c>
      <c r="AZ21" t="s">
        <v>1918</v>
      </c>
      <c r="BA21" t="s">
        <v>1918</v>
      </c>
      <c r="BB21" t="s">
        <v>1918</v>
      </c>
      <c r="BC21" t="s">
        <v>1918</v>
      </c>
      <c r="BD21">
        <v>55</v>
      </c>
      <c r="BE21" t="s">
        <v>1523</v>
      </c>
      <c r="BF21" t="str">
        <f>HYPERLINK("http://dx.doi.org/10.4040/jkan.22117","http://dx.doi.org/10.4040/jkan.22117")</f>
        <v>http://dx.doi.org/10.4040/jkan.22117</v>
      </c>
      <c r="BG21" t="s">
        <v>1918</v>
      </c>
      <c r="BH21" t="s">
        <v>1918</v>
      </c>
      <c r="BI21" t="s">
        <v>1918</v>
      </c>
      <c r="BJ21" t="s">
        <v>1918</v>
      </c>
      <c r="BK21" t="s">
        <v>1918</v>
      </c>
      <c r="BL21" t="s">
        <v>1918</v>
      </c>
      <c r="BM21" t="s">
        <v>1918</v>
      </c>
      <c r="BN21" t="s">
        <v>1918</v>
      </c>
      <c r="BO21" t="s">
        <v>1918</v>
      </c>
      <c r="BP21" t="s">
        <v>1918</v>
      </c>
      <c r="BQ21" t="s">
        <v>1918</v>
      </c>
      <c r="BR21" t="s">
        <v>1927</v>
      </c>
      <c r="BS21" t="s">
        <v>2078</v>
      </c>
      <c r="BT21" t="str">
        <f>HYPERLINK("https%3A%2F%2Fwww.webofscience.com%2Fwos%2Fwoscc%2Ffull-record%2FWOS:000941874100005","View Full Record in Web of Science")</f>
        <v>View Full Record in Web of Science</v>
      </c>
      <c r="BU21">
        <f>COUNTIF('오픈소스&amp;직접수집'!F:F,'wos(corecollection)_260528'!BE21)</f>
        <v>1</v>
      </c>
      <c r="BV21">
        <f>COUNTIF('오픈소스&amp;직접수집'!A:A,'wos(corecollection)_260528'!I21)</f>
        <v>1</v>
      </c>
      <c r="BW21">
        <f t="shared" si="0"/>
        <v>2</v>
      </c>
    </row>
    <row r="22" spans="1:75" x14ac:dyDescent="0.3">
      <c r="A22" s="4" t="s">
        <v>1917</v>
      </c>
      <c r="B22" t="s">
        <v>2079</v>
      </c>
      <c r="C22" t="s">
        <v>1918</v>
      </c>
      <c r="D22" t="s">
        <v>1918</v>
      </c>
      <c r="E22" t="s">
        <v>1918</v>
      </c>
      <c r="F22" t="s">
        <v>2080</v>
      </c>
      <c r="G22" t="s">
        <v>1918</v>
      </c>
      <c r="H22" t="s">
        <v>1918</v>
      </c>
      <c r="I22" t="s">
        <v>736</v>
      </c>
      <c r="J22" t="s">
        <v>1772</v>
      </c>
      <c r="K22" t="s">
        <v>1918</v>
      </c>
      <c r="L22" t="s">
        <v>1918</v>
      </c>
      <c r="M22" t="s">
        <v>1918</v>
      </c>
      <c r="N22" t="s">
        <v>1920</v>
      </c>
      <c r="O22" t="s">
        <v>1918</v>
      </c>
      <c r="P22" t="s">
        <v>1918</v>
      </c>
      <c r="Q22" t="s">
        <v>1918</v>
      </c>
      <c r="R22" t="s">
        <v>1918</v>
      </c>
      <c r="S22" t="s">
        <v>1918</v>
      </c>
      <c r="T22" t="s">
        <v>1918</v>
      </c>
      <c r="U22" t="s">
        <v>1918</v>
      </c>
      <c r="V22" t="s">
        <v>2081</v>
      </c>
      <c r="W22" t="s">
        <v>2082</v>
      </c>
      <c r="X22" t="s">
        <v>1918</v>
      </c>
      <c r="Y22" t="s">
        <v>2083</v>
      </c>
      <c r="Z22" t="s">
        <v>2084</v>
      </c>
      <c r="AA22" t="s">
        <v>1918</v>
      </c>
      <c r="AB22" t="s">
        <v>1918</v>
      </c>
      <c r="AC22" t="s">
        <v>1918</v>
      </c>
      <c r="AD22" t="s">
        <v>1918</v>
      </c>
      <c r="AE22" t="s">
        <v>1918</v>
      </c>
      <c r="AF22" t="s">
        <v>1918</v>
      </c>
      <c r="AG22">
        <v>50</v>
      </c>
      <c r="AH22">
        <v>1</v>
      </c>
      <c r="AI22">
        <v>1</v>
      </c>
      <c r="AJ22" t="s">
        <v>1918</v>
      </c>
      <c r="AK22" t="s">
        <v>1918</v>
      </c>
      <c r="AL22" t="s">
        <v>1918</v>
      </c>
      <c r="AM22" t="s">
        <v>1918</v>
      </c>
      <c r="AN22" t="s">
        <v>1918</v>
      </c>
      <c r="AO22" t="s">
        <v>1918</v>
      </c>
      <c r="AP22" t="s">
        <v>1918</v>
      </c>
      <c r="AQ22" t="s">
        <v>1918</v>
      </c>
      <c r="AR22" t="s">
        <v>1918</v>
      </c>
      <c r="AS22" t="s">
        <v>1918</v>
      </c>
      <c r="AT22" t="s">
        <v>2085</v>
      </c>
      <c r="AU22">
        <v>2023</v>
      </c>
      <c r="AV22">
        <v>53</v>
      </c>
      <c r="AW22">
        <v>6</v>
      </c>
      <c r="AX22" t="s">
        <v>1918</v>
      </c>
      <c r="AY22" t="s">
        <v>1918</v>
      </c>
      <c r="AZ22" t="s">
        <v>1918</v>
      </c>
      <c r="BA22" t="s">
        <v>1918</v>
      </c>
      <c r="BB22">
        <v>635</v>
      </c>
      <c r="BC22">
        <v>651</v>
      </c>
      <c r="BD22" t="s">
        <v>1918</v>
      </c>
      <c r="BE22" t="s">
        <v>1531</v>
      </c>
      <c r="BF22" t="str">
        <f>HYPERLINK("http://dx.doi.org/10.4040/jkan.23052","http://dx.doi.org/10.4040/jkan.23052")</f>
        <v>http://dx.doi.org/10.4040/jkan.23052</v>
      </c>
      <c r="BG22" t="s">
        <v>1918</v>
      </c>
      <c r="BH22" t="s">
        <v>1918</v>
      </c>
      <c r="BI22" t="s">
        <v>1918</v>
      </c>
      <c r="BJ22" t="s">
        <v>1918</v>
      </c>
      <c r="BK22" t="s">
        <v>1918</v>
      </c>
      <c r="BL22" t="s">
        <v>1918</v>
      </c>
      <c r="BM22" t="s">
        <v>1918</v>
      </c>
      <c r="BN22" t="s">
        <v>1918</v>
      </c>
      <c r="BO22" t="s">
        <v>1918</v>
      </c>
      <c r="BP22" t="s">
        <v>1918</v>
      </c>
      <c r="BQ22" t="s">
        <v>1918</v>
      </c>
      <c r="BR22" t="s">
        <v>1927</v>
      </c>
      <c r="BS22" t="s">
        <v>2086</v>
      </c>
      <c r="BT22" t="str">
        <f>HYPERLINK("https%3A%2F%2Fwww.webofscience.com%2Fwos%2Fwoscc%2Ffull-record%2FWOS:001143408800002","View Full Record in Web of Science")</f>
        <v>View Full Record in Web of Science</v>
      </c>
      <c r="BU22">
        <f>COUNTIF('오픈소스&amp;직접수집'!F:F,'wos(corecollection)_260528'!BE22)</f>
        <v>1</v>
      </c>
      <c r="BV22">
        <f>COUNTIF('오픈소스&amp;직접수집'!A:A,'wos(corecollection)_260528'!I22)</f>
        <v>1</v>
      </c>
      <c r="BW22">
        <f t="shared" si="0"/>
        <v>2</v>
      </c>
    </row>
    <row r="23" spans="1:75" x14ac:dyDescent="0.3">
      <c r="A23" s="4" t="s">
        <v>1917</v>
      </c>
      <c r="B23" t="s">
        <v>2087</v>
      </c>
      <c r="C23" t="s">
        <v>1918</v>
      </c>
      <c r="D23" t="s">
        <v>1918</v>
      </c>
      <c r="E23" t="s">
        <v>1918</v>
      </c>
      <c r="F23" t="s">
        <v>2088</v>
      </c>
      <c r="G23" t="s">
        <v>1918</v>
      </c>
      <c r="H23" t="s">
        <v>1918</v>
      </c>
      <c r="I23" t="s">
        <v>1175</v>
      </c>
      <c r="J23" t="s">
        <v>2089</v>
      </c>
      <c r="K23" t="s">
        <v>1918</v>
      </c>
      <c r="L23" t="s">
        <v>1918</v>
      </c>
      <c r="M23" t="s">
        <v>1918</v>
      </c>
      <c r="N23" t="s">
        <v>2028</v>
      </c>
      <c r="O23" t="s">
        <v>1918</v>
      </c>
      <c r="P23" t="s">
        <v>1918</v>
      </c>
      <c r="Q23" t="s">
        <v>1918</v>
      </c>
      <c r="R23" t="s">
        <v>1918</v>
      </c>
      <c r="S23" t="s">
        <v>1918</v>
      </c>
      <c r="T23" t="s">
        <v>1918</v>
      </c>
      <c r="U23" t="s">
        <v>1918</v>
      </c>
      <c r="V23" t="s">
        <v>2090</v>
      </c>
      <c r="W23" t="s">
        <v>2091</v>
      </c>
      <c r="X23" t="s">
        <v>1918</v>
      </c>
      <c r="Y23" t="s">
        <v>2092</v>
      </c>
      <c r="Z23" t="s">
        <v>2093</v>
      </c>
      <c r="AA23" t="s">
        <v>1918</v>
      </c>
      <c r="AB23" t="s">
        <v>1918</v>
      </c>
      <c r="AC23" t="s">
        <v>1918</v>
      </c>
      <c r="AD23" t="s">
        <v>1918</v>
      </c>
      <c r="AE23" t="s">
        <v>1918</v>
      </c>
      <c r="AF23" t="s">
        <v>1918</v>
      </c>
      <c r="AG23">
        <v>92</v>
      </c>
      <c r="AH23">
        <v>10</v>
      </c>
      <c r="AI23">
        <v>13</v>
      </c>
      <c r="AJ23" t="s">
        <v>1918</v>
      </c>
      <c r="AK23" t="s">
        <v>1918</v>
      </c>
      <c r="AL23" t="s">
        <v>1918</v>
      </c>
      <c r="AM23" t="s">
        <v>1918</v>
      </c>
      <c r="AN23" t="s">
        <v>1918</v>
      </c>
      <c r="AO23" t="s">
        <v>1918</v>
      </c>
      <c r="AP23" t="s">
        <v>1918</v>
      </c>
      <c r="AQ23" t="s">
        <v>1918</v>
      </c>
      <c r="AR23" t="s">
        <v>1918</v>
      </c>
      <c r="AS23" t="s">
        <v>1918</v>
      </c>
      <c r="AT23" t="s">
        <v>2077</v>
      </c>
      <c r="AU23">
        <v>2023</v>
      </c>
      <c r="AV23">
        <v>121</v>
      </c>
      <c r="AW23" t="s">
        <v>1918</v>
      </c>
      <c r="AX23" t="s">
        <v>1918</v>
      </c>
      <c r="AY23" t="s">
        <v>1918</v>
      </c>
      <c r="AZ23" t="s">
        <v>1918</v>
      </c>
      <c r="BA23" t="s">
        <v>1918</v>
      </c>
      <c r="BB23" t="s">
        <v>1918</v>
      </c>
      <c r="BC23" t="s">
        <v>1918</v>
      </c>
      <c r="BD23">
        <v>105674</v>
      </c>
      <c r="BE23" t="s">
        <v>1498</v>
      </c>
      <c r="BF23" t="str">
        <f>HYPERLINK("http://dx.doi.org/10.1016/j.nedt.2022.105674","http://dx.doi.org/10.1016/j.nedt.2022.105674")</f>
        <v>http://dx.doi.org/10.1016/j.nedt.2022.105674</v>
      </c>
      <c r="BG23" t="s">
        <v>1918</v>
      </c>
      <c r="BH23" t="s">
        <v>2094</v>
      </c>
      <c r="BI23" t="s">
        <v>1918</v>
      </c>
      <c r="BJ23" t="s">
        <v>1918</v>
      </c>
      <c r="BK23" t="s">
        <v>1918</v>
      </c>
      <c r="BL23" t="s">
        <v>1918</v>
      </c>
      <c r="BM23" t="s">
        <v>1918</v>
      </c>
      <c r="BN23" t="s">
        <v>1918</v>
      </c>
      <c r="BO23" t="s">
        <v>1918</v>
      </c>
      <c r="BP23" t="s">
        <v>1918</v>
      </c>
      <c r="BQ23" t="s">
        <v>1918</v>
      </c>
      <c r="BR23" t="s">
        <v>1927</v>
      </c>
      <c r="BS23" t="s">
        <v>2095</v>
      </c>
      <c r="BT23" t="str">
        <f>HYPERLINK("https%3A%2F%2Fwww.webofscience.com%2Fwos%2Fwoscc%2Ffull-record%2FWOS:000902005400020","View Full Record in Web of Science")</f>
        <v>View Full Record in Web of Science</v>
      </c>
      <c r="BU23">
        <f>COUNTIF('오픈소스&amp;직접수집'!F:F,'wos(corecollection)_260528'!BE23)</f>
        <v>1</v>
      </c>
      <c r="BV23">
        <f>COUNTIF('오픈소스&amp;직접수집'!A:A,'wos(corecollection)_260528'!I23)</f>
        <v>1</v>
      </c>
      <c r="BW23">
        <f t="shared" si="0"/>
        <v>2</v>
      </c>
    </row>
    <row r="24" spans="1:75" x14ac:dyDescent="0.3">
      <c r="A24" s="4" t="s">
        <v>1917</v>
      </c>
      <c r="B24" t="s">
        <v>2096</v>
      </c>
      <c r="C24" t="s">
        <v>1918</v>
      </c>
      <c r="D24" t="s">
        <v>1918</v>
      </c>
      <c r="E24" t="s">
        <v>1918</v>
      </c>
      <c r="F24" t="s">
        <v>2097</v>
      </c>
      <c r="G24" t="s">
        <v>1918</v>
      </c>
      <c r="H24" t="s">
        <v>1918</v>
      </c>
      <c r="I24" t="s">
        <v>2098</v>
      </c>
      <c r="J24" t="s">
        <v>2099</v>
      </c>
      <c r="K24" t="s">
        <v>1918</v>
      </c>
      <c r="L24" t="s">
        <v>1918</v>
      </c>
      <c r="M24" t="s">
        <v>1918</v>
      </c>
      <c r="N24" t="s">
        <v>1920</v>
      </c>
      <c r="O24" t="s">
        <v>1918</v>
      </c>
      <c r="P24" t="s">
        <v>1918</v>
      </c>
      <c r="Q24" t="s">
        <v>1918</v>
      </c>
      <c r="R24" t="s">
        <v>1918</v>
      </c>
      <c r="S24" t="s">
        <v>1918</v>
      </c>
      <c r="T24" t="s">
        <v>1918</v>
      </c>
      <c r="U24" t="s">
        <v>1918</v>
      </c>
      <c r="V24" t="s">
        <v>2100</v>
      </c>
      <c r="W24" t="s">
        <v>2101</v>
      </c>
      <c r="X24" t="s">
        <v>1918</v>
      </c>
      <c r="Y24" t="s">
        <v>2102</v>
      </c>
      <c r="Z24" t="s">
        <v>2103</v>
      </c>
      <c r="AA24" t="s">
        <v>1918</v>
      </c>
      <c r="AB24" t="s">
        <v>1918</v>
      </c>
      <c r="AC24" t="s">
        <v>1918</v>
      </c>
      <c r="AD24" t="s">
        <v>1918</v>
      </c>
      <c r="AE24" t="s">
        <v>1918</v>
      </c>
      <c r="AF24" t="s">
        <v>1918</v>
      </c>
      <c r="AG24">
        <v>40</v>
      </c>
      <c r="AH24">
        <v>12</v>
      </c>
      <c r="AI24">
        <v>14</v>
      </c>
      <c r="AJ24" t="s">
        <v>1918</v>
      </c>
      <c r="AK24" t="s">
        <v>1918</v>
      </c>
      <c r="AL24" t="s">
        <v>1918</v>
      </c>
      <c r="AM24" t="s">
        <v>1918</v>
      </c>
      <c r="AN24" t="s">
        <v>1918</v>
      </c>
      <c r="AO24" t="s">
        <v>1918</v>
      </c>
      <c r="AP24" t="s">
        <v>1918</v>
      </c>
      <c r="AQ24" t="s">
        <v>1918</v>
      </c>
      <c r="AR24" t="s">
        <v>1918</v>
      </c>
      <c r="AS24" t="s">
        <v>1918</v>
      </c>
      <c r="AT24" t="s">
        <v>2104</v>
      </c>
      <c r="AU24">
        <v>2022</v>
      </c>
      <c r="AV24">
        <v>24</v>
      </c>
      <c r="AW24">
        <v>8</v>
      </c>
      <c r="AX24" t="s">
        <v>1918</v>
      </c>
      <c r="AY24" t="s">
        <v>1918</v>
      </c>
      <c r="AZ24" t="s">
        <v>1918</v>
      </c>
      <c r="BA24" t="s">
        <v>1918</v>
      </c>
      <c r="BB24" t="s">
        <v>1918</v>
      </c>
      <c r="BC24" t="s">
        <v>1918</v>
      </c>
      <c r="BD24" t="s">
        <v>1158</v>
      </c>
      <c r="BE24" t="s">
        <v>1490</v>
      </c>
      <c r="BF24" t="str">
        <f>HYPERLINK("http://dx.doi.org/10.2196/37622","http://dx.doi.org/10.2196/37622")</f>
        <v>http://dx.doi.org/10.2196/37622</v>
      </c>
      <c r="BG24" t="s">
        <v>1918</v>
      </c>
      <c r="BH24" t="s">
        <v>1918</v>
      </c>
      <c r="BI24" t="s">
        <v>1918</v>
      </c>
      <c r="BJ24" t="s">
        <v>1918</v>
      </c>
      <c r="BK24" t="s">
        <v>1918</v>
      </c>
      <c r="BL24" t="s">
        <v>1918</v>
      </c>
      <c r="BM24" t="s">
        <v>1918</v>
      </c>
      <c r="BN24" t="s">
        <v>1918</v>
      </c>
      <c r="BO24" t="s">
        <v>1918</v>
      </c>
      <c r="BP24" t="s">
        <v>1918</v>
      </c>
      <c r="BQ24" t="s">
        <v>1918</v>
      </c>
      <c r="BR24" t="s">
        <v>1927</v>
      </c>
      <c r="BS24" t="s">
        <v>2105</v>
      </c>
      <c r="BT24" t="str">
        <f>HYPERLINK("https%3A%2F%2Fwww.webofscience.com%2Fwos%2Fwoscc%2Ffull-record%2FWOS:000862887700019","View Full Record in Web of Science")</f>
        <v>View Full Record in Web of Science</v>
      </c>
      <c r="BU24">
        <f>COUNTIF('오픈소스&amp;직접수집'!F:F,'wos(corecollection)_260528'!BE24)</f>
        <v>1</v>
      </c>
      <c r="BV24">
        <f>COUNTIF('오픈소스&amp;직접수집'!A:A,'wos(corecollection)_260528'!I24)</f>
        <v>1</v>
      </c>
      <c r="BW24">
        <f t="shared" si="0"/>
        <v>2</v>
      </c>
    </row>
    <row r="25" spans="1:75" x14ac:dyDescent="0.3">
      <c r="A25" s="4" t="s">
        <v>1917</v>
      </c>
      <c r="B25" t="s">
        <v>2106</v>
      </c>
      <c r="C25" t="s">
        <v>1918</v>
      </c>
      <c r="D25" t="s">
        <v>1918</v>
      </c>
      <c r="E25" t="s">
        <v>1918</v>
      </c>
      <c r="F25" t="s">
        <v>2107</v>
      </c>
      <c r="G25" t="s">
        <v>1918</v>
      </c>
      <c r="H25" t="s">
        <v>1918</v>
      </c>
      <c r="I25" t="s">
        <v>761</v>
      </c>
      <c r="J25" t="s">
        <v>1772</v>
      </c>
      <c r="K25" t="s">
        <v>1918</v>
      </c>
      <c r="L25" t="s">
        <v>1918</v>
      </c>
      <c r="M25" t="s">
        <v>1918</v>
      </c>
      <c r="N25" t="s">
        <v>2108</v>
      </c>
      <c r="O25" t="s">
        <v>2109</v>
      </c>
      <c r="P25" t="s">
        <v>2110</v>
      </c>
      <c r="Q25" t="s">
        <v>2111</v>
      </c>
      <c r="R25" t="s">
        <v>1918</v>
      </c>
      <c r="S25" t="s">
        <v>1918</v>
      </c>
      <c r="T25" t="s">
        <v>1918</v>
      </c>
      <c r="U25" t="s">
        <v>1918</v>
      </c>
      <c r="V25" t="s">
        <v>2112</v>
      </c>
      <c r="W25" t="s">
        <v>2113</v>
      </c>
      <c r="X25" t="s">
        <v>1918</v>
      </c>
      <c r="Y25" t="s">
        <v>2114</v>
      </c>
      <c r="Z25" t="s">
        <v>2084</v>
      </c>
      <c r="AA25" t="s">
        <v>1918</v>
      </c>
      <c r="AB25" t="s">
        <v>1918</v>
      </c>
      <c r="AC25" t="s">
        <v>1918</v>
      </c>
      <c r="AD25" t="s">
        <v>1918</v>
      </c>
      <c r="AE25" t="s">
        <v>1918</v>
      </c>
      <c r="AF25" t="s">
        <v>1918</v>
      </c>
      <c r="AG25">
        <v>53</v>
      </c>
      <c r="AH25">
        <v>11</v>
      </c>
      <c r="AI25">
        <v>15</v>
      </c>
      <c r="AJ25" t="s">
        <v>1918</v>
      </c>
      <c r="AK25" t="s">
        <v>1918</v>
      </c>
      <c r="AL25" t="s">
        <v>1918</v>
      </c>
      <c r="AM25" t="s">
        <v>1918</v>
      </c>
      <c r="AN25" t="s">
        <v>1918</v>
      </c>
      <c r="AO25" t="s">
        <v>1918</v>
      </c>
      <c r="AP25" t="s">
        <v>1918</v>
      </c>
      <c r="AQ25" t="s">
        <v>1918</v>
      </c>
      <c r="AR25" t="s">
        <v>1918</v>
      </c>
      <c r="AS25" t="s">
        <v>1918</v>
      </c>
      <c r="AT25" t="s">
        <v>1973</v>
      </c>
      <c r="AU25">
        <v>2022</v>
      </c>
      <c r="AV25">
        <v>52</v>
      </c>
      <c r="AW25">
        <v>3</v>
      </c>
      <c r="AX25" t="s">
        <v>1918</v>
      </c>
      <c r="AY25" t="s">
        <v>1918</v>
      </c>
      <c r="AZ25" t="s">
        <v>1918</v>
      </c>
      <c r="BA25" t="s">
        <v>1918</v>
      </c>
      <c r="BB25">
        <v>291</v>
      </c>
      <c r="BC25">
        <v>307</v>
      </c>
      <c r="BD25" t="s">
        <v>1918</v>
      </c>
      <c r="BE25" t="s">
        <v>69</v>
      </c>
      <c r="BF25" t="str">
        <f>HYPERLINK("http://dx.doi.org/10.4040/jkan.22002","http://dx.doi.org/10.4040/jkan.22002")</f>
        <v>http://dx.doi.org/10.4040/jkan.22002</v>
      </c>
      <c r="BG25" t="s">
        <v>1918</v>
      </c>
      <c r="BH25" t="s">
        <v>1918</v>
      </c>
      <c r="BI25" t="s">
        <v>1918</v>
      </c>
      <c r="BJ25" t="s">
        <v>1918</v>
      </c>
      <c r="BK25" t="s">
        <v>1918</v>
      </c>
      <c r="BL25" t="s">
        <v>1918</v>
      </c>
      <c r="BM25" t="s">
        <v>1918</v>
      </c>
      <c r="BN25" t="s">
        <v>1918</v>
      </c>
      <c r="BO25" t="s">
        <v>1918</v>
      </c>
      <c r="BP25" t="s">
        <v>1918</v>
      </c>
      <c r="BQ25" t="s">
        <v>1918</v>
      </c>
      <c r="BR25" t="s">
        <v>1927</v>
      </c>
      <c r="BS25" t="s">
        <v>2115</v>
      </c>
      <c r="BT25" t="str">
        <f>HYPERLINK("https%3A%2F%2Fwww.webofscience.com%2Fwos%2Fwoscc%2Ffull-record%2FWOS:000819133000004","View Full Record in Web of Science")</f>
        <v>View Full Record in Web of Science</v>
      </c>
      <c r="BU25">
        <f>COUNTIF('오픈소스&amp;직접수집'!F:F,'wos(corecollection)_260528'!BE25)</f>
        <v>1</v>
      </c>
      <c r="BV25">
        <f>COUNTIF('오픈소스&amp;직접수집'!A:A,'wos(corecollection)_260528'!I25)</f>
        <v>0</v>
      </c>
      <c r="BW25">
        <f t="shared" si="0"/>
        <v>1</v>
      </c>
    </row>
    <row r="26" spans="1:75" x14ac:dyDescent="0.3">
      <c r="A26" s="4" t="s">
        <v>1917</v>
      </c>
      <c r="B26" t="s">
        <v>2116</v>
      </c>
      <c r="C26" t="s">
        <v>1918</v>
      </c>
      <c r="D26" t="s">
        <v>1918</v>
      </c>
      <c r="E26" t="s">
        <v>1918</v>
      </c>
      <c r="F26" t="s">
        <v>2117</v>
      </c>
      <c r="G26" t="s">
        <v>1918</v>
      </c>
      <c r="H26" t="s">
        <v>1918</v>
      </c>
      <c r="I26" t="s">
        <v>1332</v>
      </c>
      <c r="J26" t="s">
        <v>1774</v>
      </c>
      <c r="K26" t="s">
        <v>1918</v>
      </c>
      <c r="L26" t="s">
        <v>1918</v>
      </c>
      <c r="M26" t="s">
        <v>1918</v>
      </c>
      <c r="N26" t="s">
        <v>1920</v>
      </c>
      <c r="O26" t="s">
        <v>1918</v>
      </c>
      <c r="P26" t="s">
        <v>1918</v>
      </c>
      <c r="Q26" t="s">
        <v>1918</v>
      </c>
      <c r="R26" t="s">
        <v>1918</v>
      </c>
      <c r="S26" t="s">
        <v>1918</v>
      </c>
      <c r="T26" t="s">
        <v>1918</v>
      </c>
      <c r="U26" t="s">
        <v>1918</v>
      </c>
      <c r="V26" t="s">
        <v>2118</v>
      </c>
      <c r="W26" t="s">
        <v>2119</v>
      </c>
      <c r="X26" t="s">
        <v>1918</v>
      </c>
      <c r="Y26" t="s">
        <v>2120</v>
      </c>
      <c r="Z26" t="s">
        <v>2121</v>
      </c>
      <c r="AA26" t="s">
        <v>1918</v>
      </c>
      <c r="AB26" t="s">
        <v>1918</v>
      </c>
      <c r="AC26" t="s">
        <v>1918</v>
      </c>
      <c r="AD26" t="s">
        <v>1918</v>
      </c>
      <c r="AE26" t="s">
        <v>1918</v>
      </c>
      <c r="AF26" t="s">
        <v>1918</v>
      </c>
      <c r="AG26">
        <v>29</v>
      </c>
      <c r="AH26">
        <v>0</v>
      </c>
      <c r="AI26">
        <v>0</v>
      </c>
      <c r="AJ26" t="s">
        <v>1918</v>
      </c>
      <c r="AK26" t="s">
        <v>1918</v>
      </c>
      <c r="AL26" t="s">
        <v>1918</v>
      </c>
      <c r="AM26" t="s">
        <v>1918</v>
      </c>
      <c r="AN26" t="s">
        <v>1918</v>
      </c>
      <c r="AO26" t="s">
        <v>1918</v>
      </c>
      <c r="AP26" t="s">
        <v>1918</v>
      </c>
      <c r="AQ26" t="s">
        <v>1918</v>
      </c>
      <c r="AR26" t="s">
        <v>1918</v>
      </c>
      <c r="AS26" t="s">
        <v>1918</v>
      </c>
      <c r="AT26" t="s">
        <v>2122</v>
      </c>
      <c r="AU26">
        <v>2023</v>
      </c>
      <c r="AV26">
        <v>11</v>
      </c>
      <c r="AW26">
        <v>8</v>
      </c>
      <c r="AX26" t="s">
        <v>1918</v>
      </c>
      <c r="AY26" t="s">
        <v>1918</v>
      </c>
      <c r="AZ26" t="s">
        <v>1918</v>
      </c>
      <c r="BA26" t="s">
        <v>1918</v>
      </c>
      <c r="BB26" t="s">
        <v>1918</v>
      </c>
      <c r="BC26" t="s">
        <v>1918</v>
      </c>
      <c r="BD26">
        <v>1139</v>
      </c>
      <c r="BE26" t="s">
        <v>1576</v>
      </c>
      <c r="BF26" t="str">
        <f>HYPERLINK("http://dx.doi.org/10.3390/healthcare11081139","http://dx.doi.org/10.3390/healthcare11081139")</f>
        <v>http://dx.doi.org/10.3390/healthcare11081139</v>
      </c>
      <c r="BG26" t="s">
        <v>1918</v>
      </c>
      <c r="BH26" t="s">
        <v>1918</v>
      </c>
      <c r="BI26" t="s">
        <v>1918</v>
      </c>
      <c r="BJ26" t="s">
        <v>1918</v>
      </c>
      <c r="BK26" t="s">
        <v>1918</v>
      </c>
      <c r="BL26" t="s">
        <v>1918</v>
      </c>
      <c r="BM26" t="s">
        <v>1918</v>
      </c>
      <c r="BN26" t="s">
        <v>1918</v>
      </c>
      <c r="BO26" t="s">
        <v>1918</v>
      </c>
      <c r="BP26" t="s">
        <v>1918</v>
      </c>
      <c r="BQ26" t="s">
        <v>1918</v>
      </c>
      <c r="BR26" t="s">
        <v>1927</v>
      </c>
      <c r="BS26" t="s">
        <v>2123</v>
      </c>
      <c r="BT26" t="str">
        <f>HYPERLINK("https%3A%2F%2Fwww.webofscience.com%2Fwos%2Fwoscc%2Ffull-record%2FWOS:000984042800001","View Full Record in Web of Science")</f>
        <v>View Full Record in Web of Science</v>
      </c>
      <c r="BU26">
        <f>COUNTIF('오픈소스&amp;직접수집'!F:F,'wos(corecollection)_260528'!BE26)</f>
        <v>1</v>
      </c>
      <c r="BV26">
        <f>COUNTIF('오픈소스&amp;직접수집'!A:A,'wos(corecollection)_260528'!I26)</f>
        <v>1</v>
      </c>
      <c r="BW26">
        <f t="shared" si="0"/>
        <v>2</v>
      </c>
    </row>
    <row r="27" spans="1:75" x14ac:dyDescent="0.3">
      <c r="A27" s="4" t="s">
        <v>1917</v>
      </c>
      <c r="B27" t="s">
        <v>2124</v>
      </c>
      <c r="C27" t="s">
        <v>1918</v>
      </c>
      <c r="D27" t="s">
        <v>1918</v>
      </c>
      <c r="E27" t="s">
        <v>1918</v>
      </c>
      <c r="F27" t="s">
        <v>2125</v>
      </c>
      <c r="G27" t="s">
        <v>1918</v>
      </c>
      <c r="H27" t="s">
        <v>1918</v>
      </c>
      <c r="I27" t="s">
        <v>1173</v>
      </c>
      <c r="J27" t="s">
        <v>2126</v>
      </c>
      <c r="K27" t="s">
        <v>1918</v>
      </c>
      <c r="L27" t="s">
        <v>1918</v>
      </c>
      <c r="M27" t="s">
        <v>1918</v>
      </c>
      <c r="N27" t="s">
        <v>1920</v>
      </c>
      <c r="O27" t="s">
        <v>1918</v>
      </c>
      <c r="P27" t="s">
        <v>1918</v>
      </c>
      <c r="Q27" t="s">
        <v>1918</v>
      </c>
      <c r="R27" t="s">
        <v>1918</v>
      </c>
      <c r="S27" t="s">
        <v>1918</v>
      </c>
      <c r="T27" t="s">
        <v>1918</v>
      </c>
      <c r="U27" t="s">
        <v>1918</v>
      </c>
      <c r="V27" t="s">
        <v>2127</v>
      </c>
      <c r="W27" t="s">
        <v>2128</v>
      </c>
      <c r="X27" t="s">
        <v>1918</v>
      </c>
      <c r="Y27" t="s">
        <v>2129</v>
      </c>
      <c r="Z27" t="s">
        <v>2130</v>
      </c>
      <c r="AA27" t="s">
        <v>1918</v>
      </c>
      <c r="AB27" t="s">
        <v>1918</v>
      </c>
      <c r="AC27" t="s">
        <v>1918</v>
      </c>
      <c r="AD27" t="s">
        <v>1918</v>
      </c>
      <c r="AE27" t="s">
        <v>1918</v>
      </c>
      <c r="AF27" t="s">
        <v>1918</v>
      </c>
      <c r="AG27">
        <v>52</v>
      </c>
      <c r="AH27">
        <v>5</v>
      </c>
      <c r="AI27">
        <v>7</v>
      </c>
      <c r="AJ27" t="s">
        <v>1918</v>
      </c>
      <c r="AK27" t="s">
        <v>1918</v>
      </c>
      <c r="AL27" t="s">
        <v>1918</v>
      </c>
      <c r="AM27" t="s">
        <v>1918</v>
      </c>
      <c r="AN27" t="s">
        <v>1918</v>
      </c>
      <c r="AO27" t="s">
        <v>1918</v>
      </c>
      <c r="AP27" t="s">
        <v>1918</v>
      </c>
      <c r="AQ27" t="s">
        <v>1918</v>
      </c>
      <c r="AR27" t="s">
        <v>1918</v>
      </c>
      <c r="AS27" t="s">
        <v>1918</v>
      </c>
      <c r="AT27" t="s">
        <v>2122</v>
      </c>
      <c r="AU27">
        <v>2022</v>
      </c>
      <c r="AV27">
        <v>19</v>
      </c>
      <c r="AW27">
        <v>7</v>
      </c>
      <c r="AX27" t="s">
        <v>1918</v>
      </c>
      <c r="AY27" t="s">
        <v>1918</v>
      </c>
      <c r="AZ27" t="s">
        <v>1918</v>
      </c>
      <c r="BA27" t="s">
        <v>1918</v>
      </c>
      <c r="BB27" t="s">
        <v>1918</v>
      </c>
      <c r="BC27" t="s">
        <v>1918</v>
      </c>
      <c r="BD27">
        <v>4013</v>
      </c>
      <c r="BE27" t="s">
        <v>1497</v>
      </c>
      <c r="BF27" t="str">
        <f>HYPERLINK("http://dx.doi.org/10.3390/ijerph19074013","http://dx.doi.org/10.3390/ijerph19074013")</f>
        <v>http://dx.doi.org/10.3390/ijerph19074013</v>
      </c>
      <c r="BG27" t="s">
        <v>1918</v>
      </c>
      <c r="BH27" t="s">
        <v>1918</v>
      </c>
      <c r="BI27" t="s">
        <v>1918</v>
      </c>
      <c r="BJ27" t="s">
        <v>1918</v>
      </c>
      <c r="BK27" t="s">
        <v>1918</v>
      </c>
      <c r="BL27" t="s">
        <v>1918</v>
      </c>
      <c r="BM27" t="s">
        <v>1918</v>
      </c>
      <c r="BN27" t="s">
        <v>1918</v>
      </c>
      <c r="BO27" t="s">
        <v>1918</v>
      </c>
      <c r="BP27" t="s">
        <v>1918</v>
      </c>
      <c r="BQ27" t="s">
        <v>1918</v>
      </c>
      <c r="BR27" t="s">
        <v>1927</v>
      </c>
      <c r="BS27" t="s">
        <v>2131</v>
      </c>
      <c r="BT27" t="str">
        <f>HYPERLINK("https%3A%2F%2Fwww.webofscience.com%2Fwos%2Fwoscc%2Ffull-record%2FWOS:000780609700001","View Full Record in Web of Science")</f>
        <v>View Full Record in Web of Science</v>
      </c>
      <c r="BU27">
        <f>COUNTIF('오픈소스&amp;직접수집'!F:F,'wos(corecollection)_260528'!BE27)</f>
        <v>1</v>
      </c>
      <c r="BV27">
        <f>COUNTIF('오픈소스&amp;직접수집'!A:A,'wos(corecollection)_260528'!I27)</f>
        <v>1</v>
      </c>
      <c r="BW27">
        <f t="shared" si="0"/>
        <v>2</v>
      </c>
    </row>
    <row r="28" spans="1:75" x14ac:dyDescent="0.3">
      <c r="A28" s="4" t="s">
        <v>1917</v>
      </c>
      <c r="B28" t="s">
        <v>2132</v>
      </c>
      <c r="C28" t="s">
        <v>1918</v>
      </c>
      <c r="D28" t="s">
        <v>1918</v>
      </c>
      <c r="E28" t="s">
        <v>1918</v>
      </c>
      <c r="F28" t="s">
        <v>2133</v>
      </c>
      <c r="G28" t="s">
        <v>1918</v>
      </c>
      <c r="H28" t="s">
        <v>1918</v>
      </c>
      <c r="I28" t="s">
        <v>2134</v>
      </c>
      <c r="J28" t="s">
        <v>2018</v>
      </c>
      <c r="K28" t="s">
        <v>1918</v>
      </c>
      <c r="L28" t="s">
        <v>1918</v>
      </c>
      <c r="M28" t="s">
        <v>1918</v>
      </c>
      <c r="N28" t="s">
        <v>1920</v>
      </c>
      <c r="O28" t="s">
        <v>1918</v>
      </c>
      <c r="P28" t="s">
        <v>1918</v>
      </c>
      <c r="Q28" t="s">
        <v>1918</v>
      </c>
      <c r="R28" t="s">
        <v>1918</v>
      </c>
      <c r="S28" t="s">
        <v>1918</v>
      </c>
      <c r="T28" t="s">
        <v>1918</v>
      </c>
      <c r="U28" t="s">
        <v>1918</v>
      </c>
      <c r="V28" t="s">
        <v>2135</v>
      </c>
      <c r="W28" t="s">
        <v>2136</v>
      </c>
      <c r="X28" t="s">
        <v>1918</v>
      </c>
      <c r="Y28" t="s">
        <v>2137</v>
      </c>
      <c r="Z28" t="s">
        <v>2138</v>
      </c>
      <c r="AA28" t="s">
        <v>1918</v>
      </c>
      <c r="AB28" t="s">
        <v>1918</v>
      </c>
      <c r="AC28" t="s">
        <v>1918</v>
      </c>
      <c r="AD28" t="s">
        <v>1918</v>
      </c>
      <c r="AE28" t="s">
        <v>1918</v>
      </c>
      <c r="AF28" t="s">
        <v>1918</v>
      </c>
      <c r="AG28">
        <v>51</v>
      </c>
      <c r="AH28">
        <v>12</v>
      </c>
      <c r="AI28">
        <v>15</v>
      </c>
      <c r="AJ28" t="s">
        <v>1918</v>
      </c>
      <c r="AK28" t="s">
        <v>1918</v>
      </c>
      <c r="AL28" t="s">
        <v>1918</v>
      </c>
      <c r="AM28" t="s">
        <v>1918</v>
      </c>
      <c r="AN28" t="s">
        <v>1918</v>
      </c>
      <c r="AO28" t="s">
        <v>1918</v>
      </c>
      <c r="AP28" t="s">
        <v>1918</v>
      </c>
      <c r="AQ28" t="s">
        <v>1918</v>
      </c>
      <c r="AR28" t="s">
        <v>1918</v>
      </c>
      <c r="AS28" t="s">
        <v>1918</v>
      </c>
      <c r="AT28" t="s">
        <v>2139</v>
      </c>
      <c r="AU28">
        <v>2021</v>
      </c>
      <c r="AV28">
        <v>13</v>
      </c>
      <c r="AW28">
        <v>13</v>
      </c>
      <c r="AX28" t="s">
        <v>1918</v>
      </c>
      <c r="AY28" t="s">
        <v>1918</v>
      </c>
      <c r="AZ28" t="s">
        <v>1918</v>
      </c>
      <c r="BA28" t="s">
        <v>1918</v>
      </c>
      <c r="BB28" t="s">
        <v>1918</v>
      </c>
      <c r="BC28" t="s">
        <v>1918</v>
      </c>
      <c r="BD28">
        <v>7347</v>
      </c>
      <c r="BE28" t="s">
        <v>1491</v>
      </c>
      <c r="BF28" t="str">
        <f>HYPERLINK("http://dx.doi.org/10.3390/su13137347","http://dx.doi.org/10.3390/su13137347")</f>
        <v>http://dx.doi.org/10.3390/su13137347</v>
      </c>
      <c r="BG28" t="s">
        <v>1918</v>
      </c>
      <c r="BH28" t="s">
        <v>1918</v>
      </c>
      <c r="BI28" t="s">
        <v>1918</v>
      </c>
      <c r="BJ28" t="s">
        <v>1918</v>
      </c>
      <c r="BK28" t="s">
        <v>1918</v>
      </c>
      <c r="BL28" t="s">
        <v>1918</v>
      </c>
      <c r="BM28" t="s">
        <v>1918</v>
      </c>
      <c r="BN28" t="s">
        <v>1918</v>
      </c>
      <c r="BO28" t="s">
        <v>1918</v>
      </c>
      <c r="BP28" t="s">
        <v>1918</v>
      </c>
      <c r="BQ28" t="s">
        <v>1918</v>
      </c>
      <c r="BR28" t="s">
        <v>1927</v>
      </c>
      <c r="BS28" t="s">
        <v>2140</v>
      </c>
      <c r="BT28" t="str">
        <f>HYPERLINK("https%3A%2F%2Fwww.webofscience.com%2Fwos%2Fwoscc%2Ffull-record%2FWOS:000671131300001","View Full Record in Web of Science")</f>
        <v>View Full Record in Web of Science</v>
      </c>
      <c r="BU28">
        <f>COUNTIF('오픈소스&amp;직접수집'!F:F,'wos(corecollection)_260528'!BE28)</f>
        <v>1</v>
      </c>
      <c r="BV28">
        <f>COUNTIF('오픈소스&amp;직접수집'!A:A,'wos(corecollection)_260528'!I28)</f>
        <v>1</v>
      </c>
      <c r="BW28">
        <f t="shared" si="0"/>
        <v>2</v>
      </c>
    </row>
    <row r="29" spans="1:75" x14ac:dyDescent="0.3">
      <c r="A29" s="4" t="s">
        <v>1917</v>
      </c>
      <c r="B29" t="s">
        <v>1758</v>
      </c>
      <c r="C29" t="s">
        <v>1918</v>
      </c>
      <c r="D29" t="s">
        <v>1918</v>
      </c>
      <c r="E29" t="s">
        <v>1918</v>
      </c>
      <c r="F29" t="s">
        <v>2141</v>
      </c>
      <c r="G29" t="s">
        <v>1918</v>
      </c>
      <c r="H29" t="s">
        <v>1918</v>
      </c>
      <c r="I29" t="s">
        <v>1705</v>
      </c>
      <c r="J29" t="s">
        <v>1793</v>
      </c>
      <c r="K29" t="s">
        <v>1918</v>
      </c>
      <c r="L29" t="s">
        <v>1918</v>
      </c>
      <c r="M29" t="s">
        <v>1918</v>
      </c>
      <c r="N29" t="s">
        <v>1920</v>
      </c>
      <c r="O29" t="s">
        <v>1918</v>
      </c>
      <c r="P29" t="s">
        <v>1918</v>
      </c>
      <c r="Q29" t="s">
        <v>1918</v>
      </c>
      <c r="R29" t="s">
        <v>1918</v>
      </c>
      <c r="S29" t="s">
        <v>1918</v>
      </c>
      <c r="T29" t="s">
        <v>1918</v>
      </c>
      <c r="U29" t="s">
        <v>1918</v>
      </c>
      <c r="V29" t="s">
        <v>2142</v>
      </c>
      <c r="W29" t="s">
        <v>2143</v>
      </c>
      <c r="X29" t="s">
        <v>1918</v>
      </c>
      <c r="Y29" t="s">
        <v>2144</v>
      </c>
      <c r="Z29" t="s">
        <v>2145</v>
      </c>
      <c r="AA29" t="s">
        <v>1918</v>
      </c>
      <c r="AB29" t="s">
        <v>1918</v>
      </c>
      <c r="AC29" t="s">
        <v>1918</v>
      </c>
      <c r="AD29" t="s">
        <v>1918</v>
      </c>
      <c r="AE29" t="s">
        <v>1918</v>
      </c>
      <c r="AF29" t="s">
        <v>1918</v>
      </c>
      <c r="AG29">
        <v>27</v>
      </c>
      <c r="AH29">
        <v>19</v>
      </c>
      <c r="AI29">
        <v>23</v>
      </c>
      <c r="AJ29" t="s">
        <v>1918</v>
      </c>
      <c r="AK29" t="s">
        <v>1918</v>
      </c>
      <c r="AL29" t="s">
        <v>1918</v>
      </c>
      <c r="AM29" t="s">
        <v>1918</v>
      </c>
      <c r="AN29" t="s">
        <v>1918</v>
      </c>
      <c r="AO29" t="s">
        <v>1918</v>
      </c>
      <c r="AP29" t="s">
        <v>1918</v>
      </c>
      <c r="AQ29" t="s">
        <v>1918</v>
      </c>
      <c r="AR29" t="s">
        <v>1918</v>
      </c>
      <c r="AS29" t="s">
        <v>1918</v>
      </c>
      <c r="AT29" t="s">
        <v>2023</v>
      </c>
      <c r="AU29">
        <v>2020</v>
      </c>
      <c r="AV29">
        <v>65</v>
      </c>
      <c r="AW29" t="s">
        <v>1918</v>
      </c>
      <c r="AX29" t="s">
        <v>1918</v>
      </c>
      <c r="AY29" t="s">
        <v>1918</v>
      </c>
      <c r="AZ29" t="s">
        <v>1918</v>
      </c>
      <c r="BA29" t="s">
        <v>1918</v>
      </c>
      <c r="BB29" t="s">
        <v>1918</v>
      </c>
      <c r="BC29" t="s">
        <v>1918</v>
      </c>
      <c r="BD29">
        <v>104122</v>
      </c>
      <c r="BE29" t="s">
        <v>2146</v>
      </c>
      <c r="BF29" t="str">
        <f>HYPERLINK("http://dx.doi.org/10.1016/j.jlp.2020.104122","http://dx.doi.org/10.1016/j.jlp.2020.104122")</f>
        <v>http://dx.doi.org/10.1016/j.jlp.2020.104122</v>
      </c>
      <c r="BG29" t="s">
        <v>1918</v>
      </c>
      <c r="BH29" t="s">
        <v>1918</v>
      </c>
      <c r="BI29" t="s">
        <v>1918</v>
      </c>
      <c r="BJ29" t="s">
        <v>1918</v>
      </c>
      <c r="BK29" t="s">
        <v>1918</v>
      </c>
      <c r="BL29" t="s">
        <v>1918</v>
      </c>
      <c r="BM29" t="s">
        <v>1918</v>
      </c>
      <c r="BN29" t="s">
        <v>1918</v>
      </c>
      <c r="BO29" t="s">
        <v>1918</v>
      </c>
      <c r="BP29" t="s">
        <v>1918</v>
      </c>
      <c r="BQ29" t="s">
        <v>1918</v>
      </c>
      <c r="BR29" t="s">
        <v>1927</v>
      </c>
      <c r="BS29" t="s">
        <v>2147</v>
      </c>
      <c r="BT29" t="str">
        <f>HYPERLINK("https%3A%2F%2Fwww.webofscience.com%2Fwos%2Fwoscc%2Ffull-record%2FWOS:000536925600053","View Full Record in Web of Science")</f>
        <v>View Full Record in Web of Science</v>
      </c>
      <c r="BU29">
        <f>COUNTIF('오픈소스&amp;직접수집'!F:F,'wos(corecollection)_260528'!BE29)</f>
        <v>0</v>
      </c>
      <c r="BV29">
        <f>COUNTIF('오픈소스&amp;직접수집'!A:A,'wos(corecollection)_260528'!I29)</f>
        <v>1</v>
      </c>
      <c r="BW29">
        <f t="shared" si="0"/>
        <v>1</v>
      </c>
    </row>
    <row r="30" spans="1:75" x14ac:dyDescent="0.3">
      <c r="A30" s="4" t="s">
        <v>1917</v>
      </c>
      <c r="B30" t="s">
        <v>2148</v>
      </c>
      <c r="C30" t="s">
        <v>1918</v>
      </c>
      <c r="D30" t="s">
        <v>1918</v>
      </c>
      <c r="E30" t="s">
        <v>1918</v>
      </c>
      <c r="F30" t="s">
        <v>2149</v>
      </c>
      <c r="G30" t="s">
        <v>1918</v>
      </c>
      <c r="H30" t="s">
        <v>1918</v>
      </c>
      <c r="I30" t="s">
        <v>1255</v>
      </c>
      <c r="J30" t="s">
        <v>1773</v>
      </c>
      <c r="K30" t="s">
        <v>1918</v>
      </c>
      <c r="L30" t="s">
        <v>1918</v>
      </c>
      <c r="M30" t="s">
        <v>1918</v>
      </c>
      <c r="N30" t="s">
        <v>1920</v>
      </c>
      <c r="O30" t="s">
        <v>1918</v>
      </c>
      <c r="P30" t="s">
        <v>1918</v>
      </c>
      <c r="Q30" t="s">
        <v>1918</v>
      </c>
      <c r="R30" t="s">
        <v>1918</v>
      </c>
      <c r="S30" t="s">
        <v>1918</v>
      </c>
      <c r="T30" t="s">
        <v>1918</v>
      </c>
      <c r="U30" t="s">
        <v>1918</v>
      </c>
      <c r="V30" t="s">
        <v>1536</v>
      </c>
      <c r="W30" t="s">
        <v>2150</v>
      </c>
      <c r="X30" t="s">
        <v>1918</v>
      </c>
      <c r="Y30" t="s">
        <v>2151</v>
      </c>
      <c r="Z30" t="s">
        <v>1979</v>
      </c>
      <c r="AA30" t="s">
        <v>1918</v>
      </c>
      <c r="AB30" t="s">
        <v>1918</v>
      </c>
      <c r="AC30" t="s">
        <v>1918</v>
      </c>
      <c r="AD30" t="s">
        <v>1918</v>
      </c>
      <c r="AE30" t="s">
        <v>1918</v>
      </c>
      <c r="AF30" t="s">
        <v>1918</v>
      </c>
      <c r="AG30">
        <v>49</v>
      </c>
      <c r="AH30">
        <v>1</v>
      </c>
      <c r="AI30">
        <v>2</v>
      </c>
      <c r="AJ30" t="s">
        <v>1918</v>
      </c>
      <c r="AK30" t="s">
        <v>1918</v>
      </c>
      <c r="AL30" t="s">
        <v>1918</v>
      </c>
      <c r="AM30" t="s">
        <v>1918</v>
      </c>
      <c r="AN30" t="s">
        <v>1918</v>
      </c>
      <c r="AO30" t="s">
        <v>1918</v>
      </c>
      <c r="AP30" t="s">
        <v>1918</v>
      </c>
      <c r="AQ30" t="s">
        <v>1918</v>
      </c>
      <c r="AR30" t="s">
        <v>1918</v>
      </c>
      <c r="AS30" t="s">
        <v>1918</v>
      </c>
      <c r="AT30" t="s">
        <v>2033</v>
      </c>
      <c r="AU30">
        <v>2022</v>
      </c>
      <c r="AV30">
        <v>59</v>
      </c>
      <c r="AW30" t="s">
        <v>1918</v>
      </c>
      <c r="AX30" t="s">
        <v>1918</v>
      </c>
      <c r="AY30" t="s">
        <v>1918</v>
      </c>
      <c r="AZ30" t="s">
        <v>1918</v>
      </c>
      <c r="BA30" t="s">
        <v>1918</v>
      </c>
      <c r="BB30" t="s">
        <v>1918</v>
      </c>
      <c r="BC30" t="s">
        <v>1918</v>
      </c>
      <c r="BD30">
        <v>469580221139374</v>
      </c>
      <c r="BE30" t="s">
        <v>1535</v>
      </c>
      <c r="BF30" t="str">
        <f>HYPERLINK("http://dx.doi.org/10.1177/00469580221139374","http://dx.doi.org/10.1177/00469580221139374")</f>
        <v>http://dx.doi.org/10.1177/00469580221139374</v>
      </c>
      <c r="BG30" t="s">
        <v>1918</v>
      </c>
      <c r="BH30" t="s">
        <v>1918</v>
      </c>
      <c r="BI30" t="s">
        <v>1918</v>
      </c>
      <c r="BJ30" t="s">
        <v>1918</v>
      </c>
      <c r="BK30" t="s">
        <v>1918</v>
      </c>
      <c r="BL30" t="s">
        <v>1918</v>
      </c>
      <c r="BM30" t="s">
        <v>1918</v>
      </c>
      <c r="BN30" t="s">
        <v>1918</v>
      </c>
      <c r="BO30" t="s">
        <v>1918</v>
      </c>
      <c r="BP30" t="s">
        <v>1918</v>
      </c>
      <c r="BQ30" t="s">
        <v>1918</v>
      </c>
      <c r="BR30" t="s">
        <v>1927</v>
      </c>
      <c r="BS30" t="s">
        <v>2152</v>
      </c>
      <c r="BT30" t="str">
        <f>HYPERLINK("https%3A%2F%2Fwww.webofscience.com%2Fwos%2Fwoscc%2Ffull-record%2FWOS:000928080400001","View Full Record in Web of Science")</f>
        <v>View Full Record in Web of Science</v>
      </c>
      <c r="BU30">
        <f>COUNTIF('오픈소스&amp;직접수집'!F:F,'wos(corecollection)_260528'!BE30)</f>
        <v>1</v>
      </c>
      <c r="BV30">
        <f>COUNTIF('오픈소스&amp;직접수집'!A:A,'wos(corecollection)_260528'!I30)</f>
        <v>1</v>
      </c>
      <c r="BW30">
        <f t="shared" si="0"/>
        <v>2</v>
      </c>
    </row>
    <row r="31" spans="1:75" x14ac:dyDescent="0.3">
      <c r="A31" s="4" t="s">
        <v>1917</v>
      </c>
      <c r="B31" t="s">
        <v>2153</v>
      </c>
      <c r="C31" t="s">
        <v>1918</v>
      </c>
      <c r="D31" t="s">
        <v>1918</v>
      </c>
      <c r="E31" t="s">
        <v>1918</v>
      </c>
      <c r="F31" t="s">
        <v>2154</v>
      </c>
      <c r="G31" t="s">
        <v>1918</v>
      </c>
      <c r="H31" t="s">
        <v>1918</v>
      </c>
      <c r="I31" t="s">
        <v>2155</v>
      </c>
      <c r="J31" t="s">
        <v>1772</v>
      </c>
      <c r="K31" t="s">
        <v>1918</v>
      </c>
      <c r="L31" t="s">
        <v>1918</v>
      </c>
      <c r="M31" t="s">
        <v>1918</v>
      </c>
      <c r="N31" t="s">
        <v>1920</v>
      </c>
      <c r="O31" t="s">
        <v>1918</v>
      </c>
      <c r="P31" t="s">
        <v>1918</v>
      </c>
      <c r="Q31" t="s">
        <v>1918</v>
      </c>
      <c r="R31" t="s">
        <v>1918</v>
      </c>
      <c r="S31" t="s">
        <v>1918</v>
      </c>
      <c r="T31" t="s">
        <v>1918</v>
      </c>
      <c r="U31" t="s">
        <v>1918</v>
      </c>
      <c r="V31" t="s">
        <v>2156</v>
      </c>
      <c r="W31" t="s">
        <v>2157</v>
      </c>
      <c r="X31" t="s">
        <v>1918</v>
      </c>
      <c r="Y31" t="s">
        <v>2158</v>
      </c>
      <c r="Z31" t="s">
        <v>2159</v>
      </c>
      <c r="AA31" t="s">
        <v>1918</v>
      </c>
      <c r="AB31" t="s">
        <v>1918</v>
      </c>
      <c r="AC31" t="s">
        <v>1918</v>
      </c>
      <c r="AD31" t="s">
        <v>1918</v>
      </c>
      <c r="AE31" t="s">
        <v>1918</v>
      </c>
      <c r="AF31" t="s">
        <v>1918</v>
      </c>
      <c r="AG31">
        <v>32</v>
      </c>
      <c r="AH31">
        <v>18</v>
      </c>
      <c r="AI31">
        <v>26</v>
      </c>
      <c r="AJ31" t="s">
        <v>1918</v>
      </c>
      <c r="AK31" t="s">
        <v>1918</v>
      </c>
      <c r="AL31" t="s">
        <v>1918</v>
      </c>
      <c r="AM31" t="s">
        <v>1918</v>
      </c>
      <c r="AN31" t="s">
        <v>1918</v>
      </c>
      <c r="AO31" t="s">
        <v>1918</v>
      </c>
      <c r="AP31" t="s">
        <v>1918</v>
      </c>
      <c r="AQ31" t="s">
        <v>1918</v>
      </c>
      <c r="AR31" t="s">
        <v>1918</v>
      </c>
      <c r="AS31" t="s">
        <v>1918</v>
      </c>
      <c r="AT31" t="s">
        <v>1994</v>
      </c>
      <c r="AU31">
        <v>2017</v>
      </c>
      <c r="AV31">
        <v>47</v>
      </c>
      <c r="AW31">
        <v>5</v>
      </c>
      <c r="AX31" t="s">
        <v>1918</v>
      </c>
      <c r="AY31" t="s">
        <v>1918</v>
      </c>
      <c r="AZ31" t="s">
        <v>1918</v>
      </c>
      <c r="BA31" t="s">
        <v>1918</v>
      </c>
      <c r="BB31">
        <v>600</v>
      </c>
      <c r="BC31">
        <v>612</v>
      </c>
      <c r="BD31" t="s">
        <v>1918</v>
      </c>
      <c r="BE31" t="s">
        <v>143</v>
      </c>
      <c r="BF31" t="str">
        <f>HYPERLINK("http://dx.doi.org/10.4040/jkan.2017.47.5.600","http://dx.doi.org/10.4040/jkan.2017.47.5.600")</f>
        <v>http://dx.doi.org/10.4040/jkan.2017.47.5.600</v>
      </c>
      <c r="BG31" t="s">
        <v>1918</v>
      </c>
      <c r="BH31" t="s">
        <v>1918</v>
      </c>
      <c r="BI31" t="s">
        <v>1918</v>
      </c>
      <c r="BJ31" t="s">
        <v>1918</v>
      </c>
      <c r="BK31" t="s">
        <v>1918</v>
      </c>
      <c r="BL31" t="s">
        <v>1918</v>
      </c>
      <c r="BM31" t="s">
        <v>1918</v>
      </c>
      <c r="BN31" t="s">
        <v>1918</v>
      </c>
      <c r="BO31" t="s">
        <v>1918</v>
      </c>
      <c r="BP31" t="s">
        <v>1918</v>
      </c>
      <c r="BQ31" t="s">
        <v>1918</v>
      </c>
      <c r="BR31" t="s">
        <v>1927</v>
      </c>
      <c r="BS31" t="s">
        <v>2160</v>
      </c>
      <c r="BT31" t="str">
        <f>HYPERLINK("https%3A%2F%2Fwww.webofscience.com%2Fwos%2Fwoscc%2Ffull-record%2FWOS:000415783100003","View Full Record in Web of Science")</f>
        <v>View Full Record in Web of Science</v>
      </c>
      <c r="BU31">
        <f>COUNTIF('오픈소스&amp;직접수집'!F:F,'wos(corecollection)_260528'!BE31)</f>
        <v>1</v>
      </c>
      <c r="BV31">
        <f>COUNTIF('오픈소스&amp;직접수집'!A:A,'wos(corecollection)_260528'!I31)</f>
        <v>1</v>
      </c>
      <c r="BW31">
        <f t="shared" si="0"/>
        <v>2</v>
      </c>
    </row>
    <row r="32" spans="1:75" x14ac:dyDescent="0.3">
      <c r="A32" s="4" t="s">
        <v>1917</v>
      </c>
      <c r="B32" t="s">
        <v>2161</v>
      </c>
      <c r="C32" t="s">
        <v>1918</v>
      </c>
      <c r="D32" t="s">
        <v>1918</v>
      </c>
      <c r="E32" t="s">
        <v>1918</v>
      </c>
      <c r="F32" t="s">
        <v>2162</v>
      </c>
      <c r="G32" t="s">
        <v>1918</v>
      </c>
      <c r="H32" t="s">
        <v>1918</v>
      </c>
      <c r="I32" t="s">
        <v>2163</v>
      </c>
      <c r="J32" t="s">
        <v>1772</v>
      </c>
      <c r="K32" t="s">
        <v>1918</v>
      </c>
      <c r="L32" t="s">
        <v>1918</v>
      </c>
      <c r="M32" t="s">
        <v>1918</v>
      </c>
      <c r="N32" t="s">
        <v>1920</v>
      </c>
      <c r="O32" t="s">
        <v>1918</v>
      </c>
      <c r="P32" t="s">
        <v>1918</v>
      </c>
      <c r="Q32" t="s">
        <v>1918</v>
      </c>
      <c r="R32" t="s">
        <v>1918</v>
      </c>
      <c r="S32" t="s">
        <v>1918</v>
      </c>
      <c r="T32" t="s">
        <v>1918</v>
      </c>
      <c r="U32" t="s">
        <v>1918</v>
      </c>
      <c r="V32" t="s">
        <v>2164</v>
      </c>
      <c r="W32" t="s">
        <v>2165</v>
      </c>
      <c r="X32" t="s">
        <v>1918</v>
      </c>
      <c r="Y32" t="s">
        <v>2166</v>
      </c>
      <c r="Z32" t="s">
        <v>2167</v>
      </c>
      <c r="AA32" t="s">
        <v>1918</v>
      </c>
      <c r="AB32" t="s">
        <v>1918</v>
      </c>
      <c r="AC32" t="s">
        <v>1918</v>
      </c>
      <c r="AD32" t="s">
        <v>1918</v>
      </c>
      <c r="AE32" t="s">
        <v>1918</v>
      </c>
      <c r="AF32" t="s">
        <v>1918</v>
      </c>
      <c r="AG32">
        <v>25</v>
      </c>
      <c r="AH32">
        <v>11</v>
      </c>
      <c r="AI32">
        <v>17</v>
      </c>
      <c r="AJ32" t="s">
        <v>1918</v>
      </c>
      <c r="AK32" t="s">
        <v>1918</v>
      </c>
      <c r="AL32" t="s">
        <v>1918</v>
      </c>
      <c r="AM32" t="s">
        <v>1918</v>
      </c>
      <c r="AN32" t="s">
        <v>1918</v>
      </c>
      <c r="AO32" t="s">
        <v>1918</v>
      </c>
      <c r="AP32" t="s">
        <v>1918</v>
      </c>
      <c r="AQ32" t="s">
        <v>1918</v>
      </c>
      <c r="AR32" t="s">
        <v>1918</v>
      </c>
      <c r="AS32" t="s">
        <v>1918</v>
      </c>
      <c r="AT32" t="s">
        <v>1994</v>
      </c>
      <c r="AU32">
        <v>2019</v>
      </c>
      <c r="AV32">
        <v>49</v>
      </c>
      <c r="AW32">
        <v>5</v>
      </c>
      <c r="AX32" t="s">
        <v>1918</v>
      </c>
      <c r="AY32" t="s">
        <v>1918</v>
      </c>
      <c r="AZ32" t="s">
        <v>1918</v>
      </c>
      <c r="BA32" t="s">
        <v>1918</v>
      </c>
      <c r="BB32">
        <v>538</v>
      </c>
      <c r="BC32">
        <v>549</v>
      </c>
      <c r="BD32" t="s">
        <v>1918</v>
      </c>
      <c r="BE32" t="s">
        <v>2168</v>
      </c>
      <c r="BF32" t="str">
        <f>HYPERLINK("http://dx.doi.org/10.4040/jkan.2019.49.5.538","http://dx.doi.org/10.4040/jkan.2019.49.5.538")</f>
        <v>http://dx.doi.org/10.4040/jkan.2019.49.5.538</v>
      </c>
      <c r="BG32" t="s">
        <v>1918</v>
      </c>
      <c r="BH32" t="s">
        <v>1918</v>
      </c>
      <c r="BI32" t="s">
        <v>1918</v>
      </c>
      <c r="BJ32" t="s">
        <v>1918</v>
      </c>
      <c r="BK32" t="s">
        <v>1918</v>
      </c>
      <c r="BL32" t="s">
        <v>1918</v>
      </c>
      <c r="BM32" t="s">
        <v>1918</v>
      </c>
      <c r="BN32" t="s">
        <v>1918</v>
      </c>
      <c r="BO32" t="s">
        <v>1918</v>
      </c>
      <c r="BP32" t="s">
        <v>1918</v>
      </c>
      <c r="BQ32" t="s">
        <v>1918</v>
      </c>
      <c r="BR32" t="s">
        <v>1927</v>
      </c>
      <c r="BS32" t="s">
        <v>2169</v>
      </c>
      <c r="BT32" t="str">
        <f>HYPERLINK("https%3A%2F%2Fwww.webofscience.com%2Fwos%2Fwoscc%2Ffull-record%2FWOS:000493986000004","View Full Record in Web of Science")</f>
        <v>View Full Record in Web of Science</v>
      </c>
      <c r="BU32">
        <f>COUNTIF('오픈소스&amp;직접수집'!F:F,'wos(corecollection)_260528'!BE32)</f>
        <v>0</v>
      </c>
      <c r="BV32">
        <f>COUNTIF('오픈소스&amp;직접수집'!A:A,'wos(corecollection)_260528'!I32)</f>
        <v>0</v>
      </c>
      <c r="BW32">
        <f t="shared" si="0"/>
        <v>0</v>
      </c>
    </row>
    <row r="33" spans="1:75" x14ac:dyDescent="0.3">
      <c r="A33" s="4" t="s">
        <v>1917</v>
      </c>
      <c r="B33" t="s">
        <v>2170</v>
      </c>
      <c r="C33" t="s">
        <v>1918</v>
      </c>
      <c r="D33" t="s">
        <v>1918</v>
      </c>
      <c r="E33" t="s">
        <v>1918</v>
      </c>
      <c r="F33" t="s">
        <v>2171</v>
      </c>
      <c r="G33" t="s">
        <v>1918</v>
      </c>
      <c r="H33" t="s">
        <v>1918</v>
      </c>
      <c r="I33" t="s">
        <v>1165</v>
      </c>
      <c r="J33" t="s">
        <v>2126</v>
      </c>
      <c r="K33" t="s">
        <v>1918</v>
      </c>
      <c r="L33" t="s">
        <v>1918</v>
      </c>
      <c r="M33" t="s">
        <v>1918</v>
      </c>
      <c r="N33" t="s">
        <v>1920</v>
      </c>
      <c r="O33" t="s">
        <v>1918</v>
      </c>
      <c r="P33" t="s">
        <v>1918</v>
      </c>
      <c r="Q33" t="s">
        <v>1918</v>
      </c>
      <c r="R33" t="s">
        <v>1918</v>
      </c>
      <c r="S33" t="s">
        <v>1918</v>
      </c>
      <c r="T33" t="s">
        <v>1918</v>
      </c>
      <c r="U33" t="s">
        <v>1918</v>
      </c>
      <c r="V33" t="s">
        <v>1494</v>
      </c>
      <c r="W33" t="s">
        <v>2172</v>
      </c>
      <c r="X33" t="s">
        <v>1918</v>
      </c>
      <c r="Y33" t="s">
        <v>2173</v>
      </c>
      <c r="Z33" t="s">
        <v>2174</v>
      </c>
      <c r="AA33" t="s">
        <v>1918</v>
      </c>
      <c r="AB33" t="s">
        <v>1918</v>
      </c>
      <c r="AC33" t="s">
        <v>1918</v>
      </c>
      <c r="AD33" t="s">
        <v>1918</v>
      </c>
      <c r="AE33" t="s">
        <v>1918</v>
      </c>
      <c r="AF33" t="s">
        <v>1918</v>
      </c>
      <c r="AG33">
        <v>69</v>
      </c>
      <c r="AH33">
        <v>5</v>
      </c>
      <c r="AI33">
        <v>8</v>
      </c>
      <c r="AJ33" t="s">
        <v>1918</v>
      </c>
      <c r="AK33" t="s">
        <v>1918</v>
      </c>
      <c r="AL33" t="s">
        <v>1918</v>
      </c>
      <c r="AM33" t="s">
        <v>1918</v>
      </c>
      <c r="AN33" t="s">
        <v>1918</v>
      </c>
      <c r="AO33" t="s">
        <v>1918</v>
      </c>
      <c r="AP33" t="s">
        <v>1918</v>
      </c>
      <c r="AQ33" t="s">
        <v>1918</v>
      </c>
      <c r="AR33" t="s">
        <v>1918</v>
      </c>
      <c r="AS33" t="s">
        <v>1918</v>
      </c>
      <c r="AT33" t="s">
        <v>1954</v>
      </c>
      <c r="AU33">
        <v>2021</v>
      </c>
      <c r="AV33">
        <v>18</v>
      </c>
      <c r="AW33">
        <v>17</v>
      </c>
      <c r="AX33" t="s">
        <v>1918</v>
      </c>
      <c r="AY33" t="s">
        <v>1918</v>
      </c>
      <c r="AZ33" t="s">
        <v>1918</v>
      </c>
      <c r="BA33" t="s">
        <v>1918</v>
      </c>
      <c r="BB33" t="s">
        <v>1918</v>
      </c>
      <c r="BC33" t="s">
        <v>1918</v>
      </c>
      <c r="BD33">
        <v>9309</v>
      </c>
      <c r="BE33" t="s">
        <v>1493</v>
      </c>
      <c r="BF33" t="str">
        <f>HYPERLINK("http://dx.doi.org/10.3390/ijerph18179309","http://dx.doi.org/10.3390/ijerph18179309")</f>
        <v>http://dx.doi.org/10.3390/ijerph18179309</v>
      </c>
      <c r="BG33" t="s">
        <v>1918</v>
      </c>
      <c r="BH33" t="s">
        <v>1918</v>
      </c>
      <c r="BI33" t="s">
        <v>1918</v>
      </c>
      <c r="BJ33" t="s">
        <v>1918</v>
      </c>
      <c r="BK33" t="s">
        <v>1918</v>
      </c>
      <c r="BL33" t="s">
        <v>1918</v>
      </c>
      <c r="BM33" t="s">
        <v>1918</v>
      </c>
      <c r="BN33" t="s">
        <v>1918</v>
      </c>
      <c r="BO33" t="s">
        <v>1918</v>
      </c>
      <c r="BP33" t="s">
        <v>1918</v>
      </c>
      <c r="BQ33" t="s">
        <v>1918</v>
      </c>
      <c r="BR33" t="s">
        <v>1927</v>
      </c>
      <c r="BS33" t="s">
        <v>2175</v>
      </c>
      <c r="BT33" t="str">
        <f>HYPERLINK("https%3A%2F%2Fwww.webofscience.com%2Fwos%2Fwoscc%2Ffull-record%2FWOS:000694150800001","View Full Record in Web of Science")</f>
        <v>View Full Record in Web of Science</v>
      </c>
      <c r="BU33">
        <f>COUNTIF('오픈소스&amp;직접수집'!F:F,'wos(corecollection)_260528'!BE33)</f>
        <v>1</v>
      </c>
      <c r="BV33">
        <f>COUNTIF('오픈소스&amp;직접수집'!A:A,'wos(corecollection)_260528'!I33)</f>
        <v>1</v>
      </c>
      <c r="BW33">
        <f t="shared" si="0"/>
        <v>2</v>
      </c>
    </row>
    <row r="34" spans="1:75" x14ac:dyDescent="0.3">
      <c r="A34" s="4" t="s">
        <v>1917</v>
      </c>
      <c r="B34" t="s">
        <v>2176</v>
      </c>
      <c r="C34" t="s">
        <v>1918</v>
      </c>
      <c r="D34" t="s">
        <v>1918</v>
      </c>
      <c r="E34" t="s">
        <v>1918</v>
      </c>
      <c r="F34" t="s">
        <v>2177</v>
      </c>
      <c r="G34" t="s">
        <v>1918</v>
      </c>
      <c r="H34" t="s">
        <v>1918</v>
      </c>
      <c r="I34" t="s">
        <v>2178</v>
      </c>
      <c r="J34" t="s">
        <v>2179</v>
      </c>
      <c r="K34" t="s">
        <v>1918</v>
      </c>
      <c r="L34" t="s">
        <v>1918</v>
      </c>
      <c r="M34" t="s">
        <v>1918</v>
      </c>
      <c r="N34" t="s">
        <v>1920</v>
      </c>
      <c r="O34" t="s">
        <v>1918</v>
      </c>
      <c r="P34" t="s">
        <v>1918</v>
      </c>
      <c r="Q34" t="s">
        <v>1918</v>
      </c>
      <c r="R34" t="s">
        <v>1918</v>
      </c>
      <c r="S34" t="s">
        <v>1918</v>
      </c>
      <c r="T34" t="s">
        <v>1918</v>
      </c>
      <c r="U34" t="s">
        <v>1918</v>
      </c>
      <c r="V34" t="s">
        <v>2180</v>
      </c>
      <c r="W34" t="s">
        <v>2181</v>
      </c>
      <c r="X34" t="s">
        <v>1918</v>
      </c>
      <c r="Y34" t="s">
        <v>2182</v>
      </c>
      <c r="Z34" t="s">
        <v>2183</v>
      </c>
      <c r="AA34" t="s">
        <v>1918</v>
      </c>
      <c r="AB34" t="s">
        <v>1918</v>
      </c>
      <c r="AC34" t="s">
        <v>1918</v>
      </c>
      <c r="AD34" t="s">
        <v>1918</v>
      </c>
      <c r="AE34" t="s">
        <v>1918</v>
      </c>
      <c r="AF34" t="s">
        <v>1918</v>
      </c>
      <c r="AG34">
        <v>31</v>
      </c>
      <c r="AH34">
        <v>8</v>
      </c>
      <c r="AI34">
        <v>9</v>
      </c>
      <c r="AJ34" t="s">
        <v>1918</v>
      </c>
      <c r="AK34" t="s">
        <v>1918</v>
      </c>
      <c r="AL34" t="s">
        <v>1918</v>
      </c>
      <c r="AM34" t="s">
        <v>1918</v>
      </c>
      <c r="AN34" t="s">
        <v>1918</v>
      </c>
      <c r="AO34" t="s">
        <v>1918</v>
      </c>
      <c r="AP34" t="s">
        <v>1918</v>
      </c>
      <c r="AQ34" t="s">
        <v>1918</v>
      </c>
      <c r="AR34" t="s">
        <v>1918</v>
      </c>
      <c r="AS34" t="s">
        <v>1918</v>
      </c>
      <c r="AT34" t="s">
        <v>1924</v>
      </c>
      <c r="AU34">
        <v>2019</v>
      </c>
      <c r="AV34">
        <v>41</v>
      </c>
      <c r="AW34">
        <v>3</v>
      </c>
      <c r="AX34" t="s">
        <v>1918</v>
      </c>
      <c r="AY34" t="s">
        <v>1918</v>
      </c>
      <c r="AZ34" t="s">
        <v>1918</v>
      </c>
      <c r="BA34" t="s">
        <v>1918</v>
      </c>
      <c r="BB34">
        <v>338</v>
      </c>
      <c r="BC34">
        <v>354</v>
      </c>
      <c r="BD34" t="s">
        <v>1918</v>
      </c>
      <c r="BE34" t="s">
        <v>54</v>
      </c>
      <c r="BF34" t="str">
        <f>HYPERLINK("http://dx.doi.org/10.1177/0193945918781310","http://dx.doi.org/10.1177/0193945918781310")</f>
        <v>http://dx.doi.org/10.1177/0193945918781310</v>
      </c>
      <c r="BG34" t="s">
        <v>1918</v>
      </c>
      <c r="BH34" t="s">
        <v>1918</v>
      </c>
      <c r="BI34" t="s">
        <v>1918</v>
      </c>
      <c r="BJ34" t="s">
        <v>1918</v>
      </c>
      <c r="BK34" t="s">
        <v>1918</v>
      </c>
      <c r="BL34" t="s">
        <v>1918</v>
      </c>
      <c r="BM34" t="s">
        <v>1918</v>
      </c>
      <c r="BN34" t="s">
        <v>1918</v>
      </c>
      <c r="BO34" t="s">
        <v>1918</v>
      </c>
      <c r="BP34" t="s">
        <v>1918</v>
      </c>
      <c r="BQ34" t="s">
        <v>1918</v>
      </c>
      <c r="BR34" t="s">
        <v>1927</v>
      </c>
      <c r="BS34" t="s">
        <v>2184</v>
      </c>
      <c r="BT34" t="str">
        <f>HYPERLINK("https%3A%2F%2Fwww.webofscience.com%2Fwos%2Fwoscc%2Ffull-record%2FWOS:000458876200002","View Full Record in Web of Science")</f>
        <v>View Full Record in Web of Science</v>
      </c>
      <c r="BU34">
        <f>COUNTIF('오픈소스&amp;직접수집'!F:F,'wos(corecollection)_260528'!BE34)</f>
        <v>1</v>
      </c>
      <c r="BV34">
        <f>COUNTIF('오픈소스&amp;직접수집'!A:A,'wos(corecollection)_260528'!I34)</f>
        <v>0</v>
      </c>
      <c r="BW34">
        <f t="shared" si="0"/>
        <v>1</v>
      </c>
    </row>
    <row r="35" spans="1:75" x14ac:dyDescent="0.3">
      <c r="A35" s="4" t="s">
        <v>1917</v>
      </c>
      <c r="B35" t="s">
        <v>1759</v>
      </c>
      <c r="C35" t="s">
        <v>1918</v>
      </c>
      <c r="D35" t="s">
        <v>1918</v>
      </c>
      <c r="E35" t="s">
        <v>1918</v>
      </c>
      <c r="F35" t="s">
        <v>2185</v>
      </c>
      <c r="G35" t="s">
        <v>1918</v>
      </c>
      <c r="H35" t="s">
        <v>1918</v>
      </c>
      <c r="I35" t="s">
        <v>1706</v>
      </c>
      <c r="J35" t="s">
        <v>1794</v>
      </c>
      <c r="K35" t="s">
        <v>1918</v>
      </c>
      <c r="L35" t="s">
        <v>1918</v>
      </c>
      <c r="M35" t="s">
        <v>1918</v>
      </c>
      <c r="N35" t="s">
        <v>1920</v>
      </c>
      <c r="O35" t="s">
        <v>1918</v>
      </c>
      <c r="P35" t="s">
        <v>1918</v>
      </c>
      <c r="Q35" t="s">
        <v>1918</v>
      </c>
      <c r="R35" t="s">
        <v>1918</v>
      </c>
      <c r="S35" t="s">
        <v>1918</v>
      </c>
      <c r="T35" t="s">
        <v>1918</v>
      </c>
      <c r="U35" t="s">
        <v>1918</v>
      </c>
      <c r="V35" t="s">
        <v>1721</v>
      </c>
      <c r="W35" t="s">
        <v>2186</v>
      </c>
      <c r="X35" t="s">
        <v>1918</v>
      </c>
      <c r="Y35" t="s">
        <v>2187</v>
      </c>
      <c r="Z35" t="s">
        <v>2188</v>
      </c>
      <c r="AA35" t="s">
        <v>1918</v>
      </c>
      <c r="AB35" t="s">
        <v>1918</v>
      </c>
      <c r="AC35" t="s">
        <v>1918</v>
      </c>
      <c r="AD35" t="s">
        <v>1918</v>
      </c>
      <c r="AE35" t="s">
        <v>1918</v>
      </c>
      <c r="AF35" t="s">
        <v>1918</v>
      </c>
      <c r="AG35">
        <v>40</v>
      </c>
      <c r="AH35">
        <v>6</v>
      </c>
      <c r="AI35">
        <v>6</v>
      </c>
      <c r="AJ35" t="s">
        <v>1918</v>
      </c>
      <c r="AK35" t="s">
        <v>1918</v>
      </c>
      <c r="AL35" t="s">
        <v>1918</v>
      </c>
      <c r="AM35" t="s">
        <v>1918</v>
      </c>
      <c r="AN35" t="s">
        <v>1918</v>
      </c>
      <c r="AO35" t="s">
        <v>1918</v>
      </c>
      <c r="AP35" t="s">
        <v>1918</v>
      </c>
      <c r="AQ35" t="s">
        <v>1918</v>
      </c>
      <c r="AR35" t="s">
        <v>1918</v>
      </c>
      <c r="AS35" t="s">
        <v>1918</v>
      </c>
      <c r="AT35" t="s">
        <v>1924</v>
      </c>
      <c r="AU35">
        <v>2020</v>
      </c>
      <c r="AV35">
        <v>29</v>
      </c>
      <c r="AW35">
        <v>3</v>
      </c>
      <c r="AX35" t="s">
        <v>1918</v>
      </c>
      <c r="AY35" t="s">
        <v>1918</v>
      </c>
      <c r="AZ35" t="s">
        <v>2189</v>
      </c>
      <c r="BA35" t="s">
        <v>1918</v>
      </c>
      <c r="BB35">
        <v>405</v>
      </c>
      <c r="BC35">
        <v>416</v>
      </c>
      <c r="BD35" t="s">
        <v>1918</v>
      </c>
      <c r="BE35" t="s">
        <v>2190</v>
      </c>
      <c r="BF35" t="str">
        <f>HYPERLINK("http://dx.doi.org/10.1177/1420326X17732612","http://dx.doi.org/10.1177/1420326X17732612")</f>
        <v>http://dx.doi.org/10.1177/1420326X17732612</v>
      </c>
      <c r="BG35" t="s">
        <v>1918</v>
      </c>
      <c r="BH35" t="s">
        <v>1918</v>
      </c>
      <c r="BI35" t="s">
        <v>1918</v>
      </c>
      <c r="BJ35" t="s">
        <v>1918</v>
      </c>
      <c r="BK35" t="s">
        <v>1918</v>
      </c>
      <c r="BL35" t="s">
        <v>1918</v>
      </c>
      <c r="BM35" t="s">
        <v>1918</v>
      </c>
      <c r="BN35" t="s">
        <v>1918</v>
      </c>
      <c r="BO35" t="s">
        <v>1918</v>
      </c>
      <c r="BP35" t="s">
        <v>1918</v>
      </c>
      <c r="BQ35" t="s">
        <v>1918</v>
      </c>
      <c r="BR35" t="s">
        <v>1927</v>
      </c>
      <c r="BS35" t="s">
        <v>2191</v>
      </c>
      <c r="BT35" t="str">
        <f>HYPERLINK("https%3A%2F%2Fwww.webofscience.com%2Fwos%2Fwoscc%2Ffull-record%2FWOS:000523823500009","View Full Record in Web of Science")</f>
        <v>View Full Record in Web of Science</v>
      </c>
      <c r="BU35">
        <f>COUNTIF('오픈소스&amp;직접수집'!F:F,'wos(corecollection)_260528'!BE35)</f>
        <v>0</v>
      </c>
      <c r="BV35">
        <f>COUNTIF('오픈소스&amp;직접수집'!A:A,'wos(corecollection)_260528'!I35)</f>
        <v>1</v>
      </c>
      <c r="BW35">
        <f t="shared" si="0"/>
        <v>1</v>
      </c>
    </row>
    <row r="36" spans="1:75" x14ac:dyDescent="0.3">
      <c r="A36" s="4" t="s">
        <v>1917</v>
      </c>
      <c r="B36" t="s">
        <v>1752</v>
      </c>
      <c r="C36" t="s">
        <v>1918</v>
      </c>
      <c r="D36" t="s">
        <v>1918</v>
      </c>
      <c r="E36" t="s">
        <v>1918</v>
      </c>
      <c r="F36" t="s">
        <v>2192</v>
      </c>
      <c r="G36" t="s">
        <v>1918</v>
      </c>
      <c r="H36" t="s">
        <v>1918</v>
      </c>
      <c r="I36" t="s">
        <v>1700</v>
      </c>
      <c r="J36" t="s">
        <v>1788</v>
      </c>
      <c r="K36" t="s">
        <v>1918</v>
      </c>
      <c r="L36" t="s">
        <v>1918</v>
      </c>
      <c r="M36" t="s">
        <v>1918</v>
      </c>
      <c r="N36" t="s">
        <v>1920</v>
      </c>
      <c r="O36" t="s">
        <v>1918</v>
      </c>
      <c r="P36" t="s">
        <v>1918</v>
      </c>
      <c r="Q36" t="s">
        <v>1918</v>
      </c>
      <c r="R36" t="s">
        <v>1918</v>
      </c>
      <c r="S36" t="s">
        <v>1918</v>
      </c>
      <c r="T36" t="s">
        <v>1918</v>
      </c>
      <c r="U36" t="s">
        <v>1918</v>
      </c>
      <c r="V36" t="s">
        <v>1718</v>
      </c>
      <c r="W36" t="s">
        <v>2193</v>
      </c>
      <c r="X36" t="s">
        <v>1918</v>
      </c>
      <c r="Y36" t="s">
        <v>2194</v>
      </c>
      <c r="Z36" t="s">
        <v>2195</v>
      </c>
      <c r="AA36" t="s">
        <v>1918</v>
      </c>
      <c r="AB36" t="s">
        <v>1918</v>
      </c>
      <c r="AC36" t="s">
        <v>1918</v>
      </c>
      <c r="AD36" t="s">
        <v>1918</v>
      </c>
      <c r="AE36" t="s">
        <v>1918</v>
      </c>
      <c r="AF36" t="s">
        <v>1918</v>
      </c>
      <c r="AG36">
        <v>44</v>
      </c>
      <c r="AH36">
        <v>6</v>
      </c>
      <c r="AI36">
        <v>6</v>
      </c>
      <c r="AJ36" t="s">
        <v>1918</v>
      </c>
      <c r="AK36" t="s">
        <v>1918</v>
      </c>
      <c r="AL36" t="s">
        <v>1918</v>
      </c>
      <c r="AM36" t="s">
        <v>1918</v>
      </c>
      <c r="AN36" t="s">
        <v>1918</v>
      </c>
      <c r="AO36" t="s">
        <v>1918</v>
      </c>
      <c r="AP36" t="s">
        <v>1918</v>
      </c>
      <c r="AQ36" t="s">
        <v>1918</v>
      </c>
      <c r="AR36" t="s">
        <v>1918</v>
      </c>
      <c r="AS36" t="s">
        <v>1918</v>
      </c>
      <c r="AT36" t="s">
        <v>1924</v>
      </c>
      <c r="AU36">
        <v>2021</v>
      </c>
      <c r="AV36">
        <v>77</v>
      </c>
      <c r="AW36">
        <v>3</v>
      </c>
      <c r="AX36" t="s">
        <v>1918</v>
      </c>
      <c r="AY36" t="s">
        <v>1918</v>
      </c>
      <c r="AZ36" t="s">
        <v>1918</v>
      </c>
      <c r="BA36" t="s">
        <v>1918</v>
      </c>
      <c r="BB36">
        <v>1325</v>
      </c>
      <c r="BC36">
        <v>1334</v>
      </c>
      <c r="BD36" t="s">
        <v>1918</v>
      </c>
      <c r="BE36" t="s">
        <v>1511</v>
      </c>
      <c r="BF36" t="str">
        <f>HYPERLINK("http://dx.doi.org/10.1111/jan.14685","http://dx.doi.org/10.1111/jan.14685")</f>
        <v>http://dx.doi.org/10.1111/jan.14685</v>
      </c>
      <c r="BG36" t="s">
        <v>1918</v>
      </c>
      <c r="BH36" t="s">
        <v>2196</v>
      </c>
      <c r="BI36" t="s">
        <v>1918</v>
      </c>
      <c r="BJ36" t="s">
        <v>1918</v>
      </c>
      <c r="BK36" t="s">
        <v>1918</v>
      </c>
      <c r="BL36" t="s">
        <v>1918</v>
      </c>
      <c r="BM36" t="s">
        <v>1918</v>
      </c>
      <c r="BN36" t="s">
        <v>1918</v>
      </c>
      <c r="BO36" t="s">
        <v>1918</v>
      </c>
      <c r="BP36" t="s">
        <v>1918</v>
      </c>
      <c r="BQ36" t="s">
        <v>1918</v>
      </c>
      <c r="BR36" t="s">
        <v>1927</v>
      </c>
      <c r="BS36" t="s">
        <v>2197</v>
      </c>
      <c r="BT36" t="str">
        <f>HYPERLINK("https%3A%2F%2Fwww.webofscience.com%2Fwos%2Fwoscc%2Ffull-record%2FWOS:000596469900001","View Full Record in Web of Science")</f>
        <v>View Full Record in Web of Science</v>
      </c>
      <c r="BU36">
        <f>COUNTIF('오픈소스&amp;직접수집'!F:F,'wos(corecollection)_260528'!BE36)</f>
        <v>1</v>
      </c>
      <c r="BV36">
        <f>COUNTIF('오픈소스&amp;직접수집'!A:A,'wos(corecollection)_260528'!I36)</f>
        <v>1</v>
      </c>
      <c r="BW36">
        <f t="shared" si="0"/>
        <v>2</v>
      </c>
    </row>
    <row r="37" spans="1:75" x14ac:dyDescent="0.3">
      <c r="A37" s="4" t="s">
        <v>1917</v>
      </c>
      <c r="B37" t="s">
        <v>2198</v>
      </c>
      <c r="C37" t="s">
        <v>1918</v>
      </c>
      <c r="D37" t="s">
        <v>1918</v>
      </c>
      <c r="E37" t="s">
        <v>1918</v>
      </c>
      <c r="F37" t="s">
        <v>2199</v>
      </c>
      <c r="G37" t="s">
        <v>1918</v>
      </c>
      <c r="H37" t="s">
        <v>1918</v>
      </c>
      <c r="I37" t="s">
        <v>2200</v>
      </c>
      <c r="J37" t="s">
        <v>2201</v>
      </c>
      <c r="K37" t="s">
        <v>1918</v>
      </c>
      <c r="L37" t="s">
        <v>1918</v>
      </c>
      <c r="M37" t="s">
        <v>1918</v>
      </c>
      <c r="N37" t="s">
        <v>1920</v>
      </c>
      <c r="O37" t="s">
        <v>1918</v>
      </c>
      <c r="P37" t="s">
        <v>1918</v>
      </c>
      <c r="Q37" t="s">
        <v>1918</v>
      </c>
      <c r="R37" t="s">
        <v>1918</v>
      </c>
      <c r="S37" t="s">
        <v>1918</v>
      </c>
      <c r="T37" t="s">
        <v>1918</v>
      </c>
      <c r="U37" t="s">
        <v>1918</v>
      </c>
      <c r="V37" t="s">
        <v>2202</v>
      </c>
      <c r="W37" t="s">
        <v>2203</v>
      </c>
      <c r="X37" t="s">
        <v>1918</v>
      </c>
      <c r="Y37" t="s">
        <v>2204</v>
      </c>
      <c r="Z37" t="s">
        <v>2205</v>
      </c>
      <c r="AA37" t="s">
        <v>1918</v>
      </c>
      <c r="AB37" t="s">
        <v>1918</v>
      </c>
      <c r="AC37" t="s">
        <v>1918</v>
      </c>
      <c r="AD37" t="s">
        <v>1918</v>
      </c>
      <c r="AE37" t="s">
        <v>1918</v>
      </c>
      <c r="AF37" t="s">
        <v>1918</v>
      </c>
      <c r="AG37">
        <v>41</v>
      </c>
      <c r="AH37">
        <v>8</v>
      </c>
      <c r="AI37">
        <v>9</v>
      </c>
      <c r="AJ37" t="s">
        <v>1918</v>
      </c>
      <c r="AK37" t="s">
        <v>1918</v>
      </c>
      <c r="AL37" t="s">
        <v>1918</v>
      </c>
      <c r="AM37" t="s">
        <v>1918</v>
      </c>
      <c r="AN37" t="s">
        <v>1918</v>
      </c>
      <c r="AO37" t="s">
        <v>1918</v>
      </c>
      <c r="AP37" t="s">
        <v>1918</v>
      </c>
      <c r="AQ37" t="s">
        <v>1918</v>
      </c>
      <c r="AR37" t="s">
        <v>1918</v>
      </c>
      <c r="AS37" t="s">
        <v>1918</v>
      </c>
      <c r="AT37" t="s">
        <v>1994</v>
      </c>
      <c r="AU37">
        <v>2025</v>
      </c>
      <c r="AV37">
        <v>262</v>
      </c>
      <c r="AW37" t="s">
        <v>1918</v>
      </c>
      <c r="AX37" t="s">
        <v>1918</v>
      </c>
      <c r="AY37" t="s">
        <v>1918</v>
      </c>
      <c r="AZ37" t="s">
        <v>1918</v>
      </c>
      <c r="BA37" t="s">
        <v>1918</v>
      </c>
      <c r="BB37" t="s">
        <v>1918</v>
      </c>
      <c r="BC37" t="s">
        <v>1918</v>
      </c>
      <c r="BD37">
        <v>111171</v>
      </c>
      <c r="BE37" t="s">
        <v>2206</v>
      </c>
      <c r="BF37" t="str">
        <f>HYPERLINK("http://dx.doi.org/10.1016/j.ress.2025.111171","http://dx.doi.org/10.1016/j.ress.2025.111171")</f>
        <v>http://dx.doi.org/10.1016/j.ress.2025.111171</v>
      </c>
      <c r="BG37" t="s">
        <v>1918</v>
      </c>
      <c r="BH37" t="s">
        <v>2207</v>
      </c>
      <c r="BI37" t="s">
        <v>1918</v>
      </c>
      <c r="BJ37" t="s">
        <v>1918</v>
      </c>
      <c r="BK37" t="s">
        <v>1918</v>
      </c>
      <c r="BL37" t="s">
        <v>1918</v>
      </c>
      <c r="BM37" t="s">
        <v>1918</v>
      </c>
      <c r="BN37" t="s">
        <v>1918</v>
      </c>
      <c r="BO37" t="s">
        <v>1918</v>
      </c>
      <c r="BP37" t="s">
        <v>1918</v>
      </c>
      <c r="BQ37" t="s">
        <v>1918</v>
      </c>
      <c r="BR37" t="s">
        <v>1927</v>
      </c>
      <c r="BS37" t="s">
        <v>2208</v>
      </c>
      <c r="BT37" t="str">
        <f>HYPERLINK("https%3A%2F%2Fwww.webofscience.com%2Fwos%2Fwoscc%2Ffull-record%2FWOS:001492650900002","View Full Record in Web of Science")</f>
        <v>View Full Record in Web of Science</v>
      </c>
      <c r="BU37">
        <f>COUNTIF('오픈소스&amp;직접수집'!F:F,'wos(corecollection)_260528'!BE37)</f>
        <v>0</v>
      </c>
      <c r="BV37">
        <f>COUNTIF('오픈소스&amp;직접수집'!A:A,'wos(corecollection)_260528'!I37)</f>
        <v>0</v>
      </c>
      <c r="BW37">
        <f t="shared" si="0"/>
        <v>0</v>
      </c>
    </row>
    <row r="38" spans="1:75" x14ac:dyDescent="0.3">
      <c r="A38" s="4" t="s">
        <v>1917</v>
      </c>
      <c r="B38" t="s">
        <v>2209</v>
      </c>
      <c r="C38" t="s">
        <v>1918</v>
      </c>
      <c r="D38" t="s">
        <v>1918</v>
      </c>
      <c r="E38" t="s">
        <v>1918</v>
      </c>
      <c r="F38" t="s">
        <v>2210</v>
      </c>
      <c r="G38" t="s">
        <v>1918</v>
      </c>
      <c r="H38" t="s">
        <v>1918</v>
      </c>
      <c r="I38" t="s">
        <v>1389</v>
      </c>
      <c r="J38" t="s">
        <v>2211</v>
      </c>
      <c r="K38" t="s">
        <v>1918</v>
      </c>
      <c r="L38" t="s">
        <v>1918</v>
      </c>
      <c r="M38" t="s">
        <v>1918</v>
      </c>
      <c r="N38" t="s">
        <v>1920</v>
      </c>
      <c r="O38" t="s">
        <v>1918</v>
      </c>
      <c r="P38" t="s">
        <v>1918</v>
      </c>
      <c r="Q38" t="s">
        <v>1918</v>
      </c>
      <c r="R38" t="s">
        <v>1918</v>
      </c>
      <c r="S38" t="s">
        <v>1918</v>
      </c>
      <c r="T38" t="s">
        <v>1918</v>
      </c>
      <c r="U38" t="s">
        <v>1918</v>
      </c>
      <c r="V38" t="s">
        <v>2212</v>
      </c>
      <c r="W38" t="s">
        <v>2213</v>
      </c>
      <c r="X38" t="s">
        <v>1918</v>
      </c>
      <c r="Y38" t="s">
        <v>2214</v>
      </c>
      <c r="Z38" t="s">
        <v>2215</v>
      </c>
      <c r="AA38" t="s">
        <v>1918</v>
      </c>
      <c r="AB38" t="s">
        <v>1918</v>
      </c>
      <c r="AC38" t="s">
        <v>1918</v>
      </c>
      <c r="AD38" t="s">
        <v>1918</v>
      </c>
      <c r="AE38" t="s">
        <v>1918</v>
      </c>
      <c r="AF38" t="s">
        <v>1918</v>
      </c>
      <c r="AG38">
        <v>79</v>
      </c>
      <c r="AH38">
        <v>0</v>
      </c>
      <c r="AI38">
        <v>0</v>
      </c>
      <c r="AJ38" t="s">
        <v>1918</v>
      </c>
      <c r="AK38" t="s">
        <v>1918</v>
      </c>
      <c r="AL38" t="s">
        <v>1918</v>
      </c>
      <c r="AM38" t="s">
        <v>1918</v>
      </c>
      <c r="AN38" t="s">
        <v>1918</v>
      </c>
      <c r="AO38" t="s">
        <v>1918</v>
      </c>
      <c r="AP38" t="s">
        <v>1918</v>
      </c>
      <c r="AQ38" t="s">
        <v>1918</v>
      </c>
      <c r="AR38" t="s">
        <v>1918</v>
      </c>
      <c r="AS38" t="s">
        <v>1918</v>
      </c>
      <c r="AT38" t="s">
        <v>2216</v>
      </c>
      <c r="AU38">
        <v>2025</v>
      </c>
      <c r="AV38">
        <v>54</v>
      </c>
      <c r="AW38">
        <v>9</v>
      </c>
      <c r="AX38" t="s">
        <v>1918</v>
      </c>
      <c r="AY38" t="s">
        <v>1918</v>
      </c>
      <c r="AZ38" t="s">
        <v>1918</v>
      </c>
      <c r="BA38" t="s">
        <v>1918</v>
      </c>
      <c r="BB38">
        <v>5158</v>
      </c>
      <c r="BC38">
        <v>5180</v>
      </c>
      <c r="BD38" t="s">
        <v>1918</v>
      </c>
      <c r="BE38" t="s">
        <v>1823</v>
      </c>
      <c r="BF38" t="str">
        <f>HYPERLINK("http://dx.doi.org/10.1108/K-01-2024-0128","http://dx.doi.org/10.1108/K-01-2024-0128")</f>
        <v>http://dx.doi.org/10.1108/K-01-2024-0128</v>
      </c>
      <c r="BG38" t="s">
        <v>1918</v>
      </c>
      <c r="BH38" t="s">
        <v>2217</v>
      </c>
      <c r="BI38" t="s">
        <v>1918</v>
      </c>
      <c r="BJ38" t="s">
        <v>1918</v>
      </c>
      <c r="BK38" t="s">
        <v>1918</v>
      </c>
      <c r="BL38" t="s">
        <v>1918</v>
      </c>
      <c r="BM38" t="s">
        <v>1918</v>
      </c>
      <c r="BN38" t="s">
        <v>1918</v>
      </c>
      <c r="BO38" t="s">
        <v>1918</v>
      </c>
      <c r="BP38" t="s">
        <v>1918</v>
      </c>
      <c r="BQ38" t="s">
        <v>1918</v>
      </c>
      <c r="BR38" t="s">
        <v>1927</v>
      </c>
      <c r="BS38" t="s">
        <v>2218</v>
      </c>
      <c r="BT38" t="str">
        <f>HYPERLINK("https%3A%2F%2Fwww.webofscience.com%2Fwos%2Fwoscc%2Ffull-record%2FWOS:001208132700001","View Full Record in Web of Science")</f>
        <v>View Full Record in Web of Science</v>
      </c>
      <c r="BU38">
        <f>COUNTIF('오픈소스&amp;직접수집'!F:F,'wos(corecollection)_260528'!BE38)</f>
        <v>2</v>
      </c>
      <c r="BV38">
        <f>COUNTIF('오픈소스&amp;직접수집'!A:A,'wos(corecollection)_260528'!I38)</f>
        <v>1</v>
      </c>
      <c r="BW38">
        <f t="shared" si="0"/>
        <v>3</v>
      </c>
    </row>
    <row r="39" spans="1:75" x14ac:dyDescent="0.3">
      <c r="A39" s="4" t="s">
        <v>1917</v>
      </c>
      <c r="B39" t="s">
        <v>1757</v>
      </c>
      <c r="C39" t="s">
        <v>1918</v>
      </c>
      <c r="D39" t="s">
        <v>1918</v>
      </c>
      <c r="E39" t="s">
        <v>1918</v>
      </c>
      <c r="F39" t="s">
        <v>2219</v>
      </c>
      <c r="G39" t="s">
        <v>1918</v>
      </c>
      <c r="H39" t="s">
        <v>1918</v>
      </c>
      <c r="I39" s="4" t="s">
        <v>2220</v>
      </c>
      <c r="J39" t="s">
        <v>1792</v>
      </c>
      <c r="K39" t="s">
        <v>1918</v>
      </c>
      <c r="L39" t="s">
        <v>1918</v>
      </c>
      <c r="M39" t="s">
        <v>1918</v>
      </c>
      <c r="N39" t="s">
        <v>1920</v>
      </c>
      <c r="O39" t="s">
        <v>1918</v>
      </c>
      <c r="P39" t="s">
        <v>1918</v>
      </c>
      <c r="Q39" t="s">
        <v>1918</v>
      </c>
      <c r="R39" t="s">
        <v>1918</v>
      </c>
      <c r="S39" t="s">
        <v>1918</v>
      </c>
      <c r="T39" t="s">
        <v>1918</v>
      </c>
      <c r="U39" t="s">
        <v>1918</v>
      </c>
      <c r="V39" t="s">
        <v>1720</v>
      </c>
      <c r="W39" t="s">
        <v>2221</v>
      </c>
      <c r="X39" t="s">
        <v>1918</v>
      </c>
      <c r="Y39" t="s">
        <v>2222</v>
      </c>
      <c r="Z39" t="s">
        <v>2223</v>
      </c>
      <c r="AA39" t="s">
        <v>1918</v>
      </c>
      <c r="AB39" t="s">
        <v>1918</v>
      </c>
      <c r="AC39" t="s">
        <v>1918</v>
      </c>
      <c r="AD39" t="s">
        <v>1918</v>
      </c>
      <c r="AE39" t="s">
        <v>1918</v>
      </c>
      <c r="AF39" t="s">
        <v>1918</v>
      </c>
      <c r="AG39">
        <v>55</v>
      </c>
      <c r="AH39">
        <v>34</v>
      </c>
      <c r="AI39">
        <v>37</v>
      </c>
      <c r="AJ39" t="s">
        <v>1918</v>
      </c>
      <c r="AK39" t="s">
        <v>1918</v>
      </c>
      <c r="AL39" t="s">
        <v>1918</v>
      </c>
      <c r="AM39" t="s">
        <v>1918</v>
      </c>
      <c r="AN39" t="s">
        <v>1918</v>
      </c>
      <c r="AO39" t="s">
        <v>1918</v>
      </c>
      <c r="AP39" t="s">
        <v>1918</v>
      </c>
      <c r="AQ39" t="s">
        <v>1918</v>
      </c>
      <c r="AR39" t="s">
        <v>1918</v>
      </c>
      <c r="AS39" t="s">
        <v>1918</v>
      </c>
      <c r="AT39" t="s">
        <v>2085</v>
      </c>
      <c r="AU39">
        <v>2020</v>
      </c>
      <c r="AV39">
        <v>204</v>
      </c>
      <c r="AW39" t="s">
        <v>1918</v>
      </c>
      <c r="AX39" t="s">
        <v>1918</v>
      </c>
      <c r="AY39" t="s">
        <v>1918</v>
      </c>
      <c r="AZ39" t="s">
        <v>1918</v>
      </c>
      <c r="BA39" t="s">
        <v>1918</v>
      </c>
      <c r="BB39" t="s">
        <v>1918</v>
      </c>
      <c r="BC39" t="s">
        <v>1918</v>
      </c>
      <c r="BD39">
        <v>103934</v>
      </c>
      <c r="BE39" t="s">
        <v>2224</v>
      </c>
      <c r="BF39" t="str">
        <f>HYPERLINK("http://dx.doi.org/10.1016/j.landurbplan.2020.103934","http://dx.doi.org/10.1016/j.landurbplan.2020.103934")</f>
        <v>http://dx.doi.org/10.1016/j.landurbplan.2020.103934</v>
      </c>
      <c r="BG39" t="s">
        <v>1918</v>
      </c>
      <c r="BH39" t="s">
        <v>1918</v>
      </c>
      <c r="BI39" t="s">
        <v>1918</v>
      </c>
      <c r="BJ39" t="s">
        <v>1918</v>
      </c>
      <c r="BK39" t="s">
        <v>1918</v>
      </c>
      <c r="BL39" t="s">
        <v>1918</v>
      </c>
      <c r="BM39" t="s">
        <v>1918</v>
      </c>
      <c r="BN39" t="s">
        <v>1918</v>
      </c>
      <c r="BO39" t="s">
        <v>1918</v>
      </c>
      <c r="BP39" t="s">
        <v>1918</v>
      </c>
      <c r="BQ39" t="s">
        <v>1918</v>
      </c>
      <c r="BR39" t="s">
        <v>1927</v>
      </c>
      <c r="BS39" t="s">
        <v>2225</v>
      </c>
      <c r="BT39" t="str">
        <f>HYPERLINK("https%3A%2F%2Fwww.webofscience.com%2Fwos%2Fwoscc%2Ffull-record%2FWOS:000579383300009","View Full Record in Web of Science")</f>
        <v>View Full Record in Web of Science</v>
      </c>
      <c r="BU39">
        <f>COUNTIF('오픈소스&amp;직접수집'!F:F,'wos(corecollection)_260528'!BE39)</f>
        <v>0</v>
      </c>
      <c r="BV39">
        <f>COUNTIF('오픈소스&amp;직접수집'!A:A,'wos(corecollection)_260528'!I39)</f>
        <v>1</v>
      </c>
      <c r="BW39">
        <f t="shared" si="0"/>
        <v>1</v>
      </c>
    </row>
    <row r="40" spans="1:75" x14ac:dyDescent="0.3">
      <c r="A40" s="4" t="s">
        <v>1917</v>
      </c>
      <c r="B40" t="s">
        <v>2226</v>
      </c>
      <c r="C40" t="s">
        <v>1918</v>
      </c>
      <c r="D40" t="s">
        <v>1918</v>
      </c>
      <c r="E40" t="s">
        <v>1918</v>
      </c>
      <c r="F40" t="s">
        <v>2227</v>
      </c>
      <c r="G40" t="s">
        <v>1918</v>
      </c>
      <c r="H40" t="s">
        <v>1918</v>
      </c>
      <c r="I40" t="s">
        <v>1112</v>
      </c>
      <c r="J40" t="s">
        <v>2228</v>
      </c>
      <c r="K40" t="s">
        <v>1918</v>
      </c>
      <c r="L40" t="s">
        <v>1918</v>
      </c>
      <c r="M40" t="s">
        <v>1918</v>
      </c>
      <c r="N40" t="s">
        <v>1920</v>
      </c>
      <c r="O40" t="s">
        <v>1918</v>
      </c>
      <c r="P40" t="s">
        <v>1918</v>
      </c>
      <c r="Q40" t="s">
        <v>1918</v>
      </c>
      <c r="R40" t="s">
        <v>1918</v>
      </c>
      <c r="S40" t="s">
        <v>1918</v>
      </c>
      <c r="T40" t="s">
        <v>1918</v>
      </c>
      <c r="U40" t="s">
        <v>1918</v>
      </c>
      <c r="V40" t="s">
        <v>1487</v>
      </c>
      <c r="W40" t="s">
        <v>2229</v>
      </c>
      <c r="X40" t="s">
        <v>1918</v>
      </c>
      <c r="Y40" t="s">
        <v>2230</v>
      </c>
      <c r="Z40" t="s">
        <v>2231</v>
      </c>
      <c r="AA40" t="s">
        <v>1918</v>
      </c>
      <c r="AB40" t="s">
        <v>1918</v>
      </c>
      <c r="AC40" t="s">
        <v>1918</v>
      </c>
      <c r="AD40" t="s">
        <v>1918</v>
      </c>
      <c r="AE40" t="s">
        <v>1918</v>
      </c>
      <c r="AF40" t="s">
        <v>1918</v>
      </c>
      <c r="AG40">
        <v>19</v>
      </c>
      <c r="AH40">
        <v>1</v>
      </c>
      <c r="AI40">
        <v>1</v>
      </c>
      <c r="AJ40" t="s">
        <v>1918</v>
      </c>
      <c r="AK40" t="s">
        <v>1918</v>
      </c>
      <c r="AL40" t="s">
        <v>1918</v>
      </c>
      <c r="AM40" t="s">
        <v>1918</v>
      </c>
      <c r="AN40" t="s">
        <v>1918</v>
      </c>
      <c r="AO40" t="s">
        <v>1918</v>
      </c>
      <c r="AP40" t="s">
        <v>1918</v>
      </c>
      <c r="AQ40" t="s">
        <v>1918</v>
      </c>
      <c r="AR40" t="s">
        <v>1918</v>
      </c>
      <c r="AS40" t="s">
        <v>1918</v>
      </c>
      <c r="AT40" t="s">
        <v>2232</v>
      </c>
      <c r="AU40">
        <v>2021</v>
      </c>
      <c r="AV40">
        <v>15</v>
      </c>
      <c r="AW40">
        <v>10</v>
      </c>
      <c r="AX40" t="s">
        <v>1918</v>
      </c>
      <c r="AY40" t="s">
        <v>1918</v>
      </c>
      <c r="AZ40" t="s">
        <v>1918</v>
      </c>
      <c r="BA40" t="s">
        <v>1918</v>
      </c>
      <c r="BB40">
        <v>3571</v>
      </c>
      <c r="BC40">
        <v>3587</v>
      </c>
      <c r="BD40" t="s">
        <v>1918</v>
      </c>
      <c r="BE40" t="s">
        <v>2233</v>
      </c>
      <c r="BF40" t="str">
        <f>HYPERLINK("http://dx.doi.org/10.3837/tiis.2021.10.006","http://dx.doi.org/10.3837/tiis.2021.10.006")</f>
        <v>http://dx.doi.org/10.3837/tiis.2021.10.006</v>
      </c>
      <c r="BG40" t="s">
        <v>1918</v>
      </c>
      <c r="BH40" t="s">
        <v>1918</v>
      </c>
      <c r="BI40" t="s">
        <v>1918</v>
      </c>
      <c r="BJ40" t="s">
        <v>1918</v>
      </c>
      <c r="BK40" t="s">
        <v>1918</v>
      </c>
      <c r="BL40" t="s">
        <v>1918</v>
      </c>
      <c r="BM40" t="s">
        <v>1918</v>
      </c>
      <c r="BN40" t="s">
        <v>1918</v>
      </c>
      <c r="BO40" t="s">
        <v>1918</v>
      </c>
      <c r="BP40" t="s">
        <v>1918</v>
      </c>
      <c r="BQ40" t="s">
        <v>1918</v>
      </c>
      <c r="BR40" t="s">
        <v>1927</v>
      </c>
      <c r="BS40" t="s">
        <v>2234</v>
      </c>
      <c r="BT40" t="str">
        <f>HYPERLINK("https%3A%2F%2Fwww.webofscience.com%2Fwos%2Fwoscc%2Ffull-record%2FWOS:000714446400006","View Full Record in Web of Science")</f>
        <v>View Full Record in Web of Science</v>
      </c>
      <c r="BU40">
        <f>COUNTIF('오픈소스&amp;직접수집'!F:F,'wos(corecollection)_260528'!BE40)</f>
        <v>0</v>
      </c>
      <c r="BV40">
        <f>COUNTIF('오픈소스&amp;직접수집'!A:A,'wos(corecollection)_260528'!I40)</f>
        <v>1</v>
      </c>
      <c r="BW40">
        <f t="shared" si="0"/>
        <v>1</v>
      </c>
    </row>
    <row r="41" spans="1:75" x14ac:dyDescent="0.3">
      <c r="A41" s="5" t="s">
        <v>2235</v>
      </c>
      <c r="B41" s="5" t="s">
        <v>2236</v>
      </c>
      <c r="C41" s="5" t="s">
        <v>1918</v>
      </c>
      <c r="D41" s="5" t="s">
        <v>1918</v>
      </c>
      <c r="E41" s="5" t="s">
        <v>1918</v>
      </c>
      <c r="F41" s="5" t="s">
        <v>2237</v>
      </c>
      <c r="G41" s="5" t="s">
        <v>1918</v>
      </c>
      <c r="H41" s="5" t="s">
        <v>1918</v>
      </c>
      <c r="I41" s="5" t="s">
        <v>2238</v>
      </c>
      <c r="J41" s="5" t="s">
        <v>1774</v>
      </c>
      <c r="K41" s="5" t="s">
        <v>1918</v>
      </c>
      <c r="L41" s="5" t="s">
        <v>1918</v>
      </c>
      <c r="M41" s="5" t="s">
        <v>1918</v>
      </c>
      <c r="N41" s="5" t="s">
        <v>1920</v>
      </c>
      <c r="O41" s="5" t="s">
        <v>1918</v>
      </c>
      <c r="P41" s="5" t="s">
        <v>1918</v>
      </c>
      <c r="Q41" s="5" t="s">
        <v>1918</v>
      </c>
      <c r="R41" s="5" t="s">
        <v>1918</v>
      </c>
      <c r="S41" s="5" t="s">
        <v>1918</v>
      </c>
      <c r="T41" s="5" t="s">
        <v>1918</v>
      </c>
      <c r="U41" s="5" t="s">
        <v>1918</v>
      </c>
      <c r="V41" s="5" t="s">
        <v>2239</v>
      </c>
      <c r="W41" s="5" t="s">
        <v>2240</v>
      </c>
      <c r="X41" s="5" t="s">
        <v>1918</v>
      </c>
      <c r="Y41" s="5" t="s">
        <v>2241</v>
      </c>
      <c r="Z41" s="5" t="s">
        <v>2242</v>
      </c>
      <c r="AA41" s="5" t="s">
        <v>1918</v>
      </c>
      <c r="AB41" s="5" t="s">
        <v>1918</v>
      </c>
      <c r="AC41" s="5" t="s">
        <v>1918</v>
      </c>
      <c r="AD41" s="5" t="s">
        <v>1918</v>
      </c>
      <c r="AE41" s="5" t="s">
        <v>1918</v>
      </c>
      <c r="AF41" s="5" t="s">
        <v>1918</v>
      </c>
      <c r="AG41" s="5">
        <v>37</v>
      </c>
      <c r="AH41" s="5">
        <v>0</v>
      </c>
      <c r="AI41" s="5">
        <v>0</v>
      </c>
      <c r="AJ41" s="5" t="s">
        <v>1918</v>
      </c>
      <c r="AK41" s="5" t="s">
        <v>1918</v>
      </c>
      <c r="AL41" s="5" t="s">
        <v>1918</v>
      </c>
      <c r="AM41" s="5" t="s">
        <v>1918</v>
      </c>
      <c r="AN41" s="5" t="s">
        <v>1918</v>
      </c>
      <c r="AO41" s="5" t="s">
        <v>1918</v>
      </c>
      <c r="AP41" s="5" t="s">
        <v>1918</v>
      </c>
      <c r="AQ41" s="5" t="s">
        <v>1918</v>
      </c>
      <c r="AR41" s="5" t="s">
        <v>1918</v>
      </c>
      <c r="AS41" s="5" t="s">
        <v>1918</v>
      </c>
      <c r="AT41" s="5" t="s">
        <v>2243</v>
      </c>
      <c r="AU41" s="5">
        <v>2025</v>
      </c>
      <c r="AV41" s="5">
        <v>14</v>
      </c>
      <c r="AW41" s="5">
        <v>1</v>
      </c>
      <c r="AX41" s="5" t="s">
        <v>1918</v>
      </c>
      <c r="AY41" s="5" t="s">
        <v>1918</v>
      </c>
      <c r="AZ41" s="5" t="s">
        <v>1918</v>
      </c>
      <c r="BA41" s="5" t="s">
        <v>1918</v>
      </c>
      <c r="BB41" s="5" t="s">
        <v>1918</v>
      </c>
      <c r="BC41" s="5" t="s">
        <v>1918</v>
      </c>
      <c r="BD41" s="5">
        <v>82</v>
      </c>
      <c r="BE41" s="5" t="s">
        <v>2244</v>
      </c>
      <c r="BF41" s="5">
        <v>0</v>
      </c>
      <c r="BG41" s="5" t="s">
        <v>1918</v>
      </c>
      <c r="BH41" s="5" t="s">
        <v>1918</v>
      </c>
      <c r="BI41" s="5" t="s">
        <v>1918</v>
      </c>
      <c r="BJ41" s="5" t="s">
        <v>1918</v>
      </c>
      <c r="BK41" s="5" t="s">
        <v>1918</v>
      </c>
      <c r="BL41" s="5" t="s">
        <v>1918</v>
      </c>
      <c r="BM41" s="5" t="s">
        <v>1918</v>
      </c>
      <c r="BN41" s="5" t="s">
        <v>1918</v>
      </c>
      <c r="BO41" s="5" t="s">
        <v>1918</v>
      </c>
      <c r="BP41" s="5" t="s">
        <v>1918</v>
      </c>
      <c r="BQ41" s="5" t="s">
        <v>1918</v>
      </c>
      <c r="BR41" s="5" t="s">
        <v>1927</v>
      </c>
      <c r="BS41" s="5" t="s">
        <v>2245</v>
      </c>
      <c r="BT41" s="5">
        <v>0</v>
      </c>
      <c r="BU41">
        <f>COUNTIF('오픈소스&amp;직접수집'!F:F,'wos(corecollection)_260528'!BE41)</f>
        <v>0</v>
      </c>
      <c r="BV41">
        <f>COUNTIF('오픈소스&amp;직접수집'!A:A,'wos(corecollection)_260528'!I41)</f>
        <v>0</v>
      </c>
      <c r="BW41">
        <f t="shared" si="0"/>
        <v>0</v>
      </c>
    </row>
    <row r="42" spans="1:75" x14ac:dyDescent="0.3">
      <c r="A42" s="5" t="s">
        <v>2235</v>
      </c>
      <c r="B42" s="5" t="s">
        <v>2246</v>
      </c>
      <c r="C42" s="5" t="s">
        <v>1918</v>
      </c>
      <c r="D42" s="5" t="s">
        <v>1918</v>
      </c>
      <c r="E42" s="5" t="s">
        <v>1918</v>
      </c>
      <c r="F42" s="5" t="s">
        <v>2247</v>
      </c>
      <c r="G42" s="5" t="s">
        <v>1918</v>
      </c>
      <c r="H42" s="5" t="s">
        <v>1918</v>
      </c>
      <c r="I42" s="5" t="s">
        <v>2248</v>
      </c>
      <c r="J42" s="5" t="s">
        <v>2249</v>
      </c>
      <c r="K42" s="5" t="s">
        <v>1918</v>
      </c>
      <c r="L42" s="5" t="s">
        <v>1918</v>
      </c>
      <c r="M42" s="5" t="s">
        <v>1918</v>
      </c>
      <c r="N42" s="5" t="s">
        <v>2250</v>
      </c>
      <c r="O42" s="5" t="s">
        <v>1918</v>
      </c>
      <c r="P42" s="5" t="s">
        <v>1918</v>
      </c>
      <c r="Q42" s="5" t="s">
        <v>1918</v>
      </c>
      <c r="R42" s="5" t="s">
        <v>1918</v>
      </c>
      <c r="S42" s="5" t="s">
        <v>1918</v>
      </c>
      <c r="T42" s="5" t="s">
        <v>1918</v>
      </c>
      <c r="U42" s="5" t="s">
        <v>1918</v>
      </c>
      <c r="V42" s="5" t="s">
        <v>2251</v>
      </c>
      <c r="W42" s="5" t="s">
        <v>2252</v>
      </c>
      <c r="X42" s="5" t="s">
        <v>1918</v>
      </c>
      <c r="Y42" s="5" t="s">
        <v>2253</v>
      </c>
      <c r="Z42" s="5" t="s">
        <v>2254</v>
      </c>
      <c r="AA42" s="5" t="s">
        <v>1918</v>
      </c>
      <c r="AB42" s="5" t="s">
        <v>1918</v>
      </c>
      <c r="AC42" s="5" t="s">
        <v>1918</v>
      </c>
      <c r="AD42" s="5" t="s">
        <v>1918</v>
      </c>
      <c r="AE42" s="5" t="s">
        <v>1918</v>
      </c>
      <c r="AF42" s="5" t="s">
        <v>1918</v>
      </c>
      <c r="AG42" s="5">
        <v>43</v>
      </c>
      <c r="AH42" s="5">
        <v>0</v>
      </c>
      <c r="AI42" s="5">
        <v>0</v>
      </c>
      <c r="AJ42" s="5" t="s">
        <v>1918</v>
      </c>
      <c r="AK42" s="5" t="s">
        <v>1918</v>
      </c>
      <c r="AL42" s="5" t="s">
        <v>1918</v>
      </c>
      <c r="AM42" s="5" t="s">
        <v>1918</v>
      </c>
      <c r="AN42" s="5" t="s">
        <v>1918</v>
      </c>
      <c r="AO42" s="5" t="s">
        <v>1918</v>
      </c>
      <c r="AP42" s="5" t="s">
        <v>1918</v>
      </c>
      <c r="AQ42" s="5" t="s">
        <v>1918</v>
      </c>
      <c r="AR42" s="5" t="s">
        <v>1918</v>
      </c>
      <c r="AS42" s="5" t="s">
        <v>1918</v>
      </c>
      <c r="AT42" s="5" t="s">
        <v>2255</v>
      </c>
      <c r="AU42" s="5">
        <v>2025</v>
      </c>
      <c r="AV42" s="5" t="s">
        <v>1918</v>
      </c>
      <c r="AW42" s="5" t="s">
        <v>1918</v>
      </c>
      <c r="AX42" s="5" t="s">
        <v>1918</v>
      </c>
      <c r="AY42" s="5" t="s">
        <v>1918</v>
      </c>
      <c r="AZ42" s="5" t="s">
        <v>1918</v>
      </c>
      <c r="BA42" s="5" t="s">
        <v>1918</v>
      </c>
      <c r="BB42" s="5" t="s">
        <v>1918</v>
      </c>
      <c r="BC42" s="5" t="s">
        <v>1918</v>
      </c>
      <c r="BD42" s="5" t="s">
        <v>1918</v>
      </c>
      <c r="BE42" s="5" t="s">
        <v>2256</v>
      </c>
      <c r="BF42" s="5">
        <v>0</v>
      </c>
      <c r="BG42" s="5" t="s">
        <v>1918</v>
      </c>
      <c r="BH42" s="5" t="s">
        <v>2257</v>
      </c>
      <c r="BI42" s="5" t="s">
        <v>1918</v>
      </c>
      <c r="BJ42" s="5" t="s">
        <v>1918</v>
      </c>
      <c r="BK42" s="5" t="s">
        <v>1918</v>
      </c>
      <c r="BL42" s="5" t="s">
        <v>1918</v>
      </c>
      <c r="BM42" s="5" t="s">
        <v>1918</v>
      </c>
      <c r="BN42" s="5" t="s">
        <v>1918</v>
      </c>
      <c r="BO42" s="5" t="s">
        <v>1918</v>
      </c>
      <c r="BP42" s="5" t="s">
        <v>1918</v>
      </c>
      <c r="BQ42" s="5" t="s">
        <v>1918</v>
      </c>
      <c r="BR42" s="5" t="s">
        <v>1927</v>
      </c>
      <c r="BS42" s="5" t="s">
        <v>2258</v>
      </c>
      <c r="BT42" s="5">
        <v>0</v>
      </c>
      <c r="BU42">
        <f>COUNTIF('오픈소스&amp;직접수집'!F:F,'wos(corecollection)_260528'!BE42)</f>
        <v>0</v>
      </c>
      <c r="BV42">
        <f>COUNTIF('오픈소스&amp;직접수집'!A:A,'wos(corecollection)_260528'!I42)</f>
        <v>0</v>
      </c>
      <c r="BW42">
        <f t="shared" si="0"/>
        <v>0</v>
      </c>
    </row>
    <row r="43" spans="1:75" x14ac:dyDescent="0.3">
      <c r="A43" s="5" t="s">
        <v>2235</v>
      </c>
      <c r="B43" s="5" t="s">
        <v>1724</v>
      </c>
      <c r="C43" s="5" t="s">
        <v>1918</v>
      </c>
      <c r="D43" s="5" t="s">
        <v>1918</v>
      </c>
      <c r="E43" s="5" t="s">
        <v>1918</v>
      </c>
      <c r="F43" s="5" t="s">
        <v>1958</v>
      </c>
      <c r="G43" s="5" t="s">
        <v>1918</v>
      </c>
      <c r="H43" s="5" t="s">
        <v>1918</v>
      </c>
      <c r="I43" s="5" t="s">
        <v>1672</v>
      </c>
      <c r="J43" s="5" t="s">
        <v>1765</v>
      </c>
      <c r="K43" s="5" t="s">
        <v>1918</v>
      </c>
      <c r="L43" s="5" t="s">
        <v>1918</v>
      </c>
      <c r="M43" s="5" t="s">
        <v>1918</v>
      </c>
      <c r="N43" s="5" t="s">
        <v>1920</v>
      </c>
      <c r="O43" s="5" t="s">
        <v>1918</v>
      </c>
      <c r="P43" s="5" t="s">
        <v>1918</v>
      </c>
      <c r="Q43" s="5" t="s">
        <v>1918</v>
      </c>
      <c r="R43" s="5" t="s">
        <v>1918</v>
      </c>
      <c r="S43" s="5" t="s">
        <v>1918</v>
      </c>
      <c r="T43" s="5" t="s">
        <v>1918</v>
      </c>
      <c r="U43" s="5" t="s">
        <v>1918</v>
      </c>
      <c r="V43" s="5" t="s">
        <v>1712</v>
      </c>
      <c r="W43" s="5" t="s">
        <v>1959</v>
      </c>
      <c r="X43" s="5" t="s">
        <v>1918</v>
      </c>
      <c r="Y43" s="5" t="s">
        <v>1922</v>
      </c>
      <c r="Z43" s="5" t="s">
        <v>1960</v>
      </c>
      <c r="AA43" s="5" t="s">
        <v>1918</v>
      </c>
      <c r="AB43" s="5" t="s">
        <v>1918</v>
      </c>
      <c r="AC43" s="5" t="s">
        <v>1918</v>
      </c>
      <c r="AD43" s="5" t="s">
        <v>1918</v>
      </c>
      <c r="AE43" s="5" t="s">
        <v>1918</v>
      </c>
      <c r="AF43" s="5" t="s">
        <v>1918</v>
      </c>
      <c r="AG43" s="5">
        <v>36</v>
      </c>
      <c r="AH43" s="5">
        <v>0</v>
      </c>
      <c r="AI43" s="5">
        <v>0</v>
      </c>
      <c r="AJ43" s="5" t="s">
        <v>1918</v>
      </c>
      <c r="AK43" s="5" t="s">
        <v>1918</v>
      </c>
      <c r="AL43" s="5" t="s">
        <v>1918</v>
      </c>
      <c r="AM43" s="5" t="s">
        <v>1918</v>
      </c>
      <c r="AN43" s="5" t="s">
        <v>1918</v>
      </c>
      <c r="AO43" s="5" t="s">
        <v>1918</v>
      </c>
      <c r="AP43" s="5" t="s">
        <v>1918</v>
      </c>
      <c r="AQ43" s="5" t="s">
        <v>1918</v>
      </c>
      <c r="AR43" s="5" t="s">
        <v>1918</v>
      </c>
      <c r="AS43" s="5" t="s">
        <v>1918</v>
      </c>
      <c r="AT43" s="5" t="s">
        <v>1961</v>
      </c>
      <c r="AU43" s="5">
        <v>2025</v>
      </c>
      <c r="AV43" s="5">
        <v>24</v>
      </c>
      <c r="AW43" s="5">
        <v>1</v>
      </c>
      <c r="AX43" s="5" t="s">
        <v>1918</v>
      </c>
      <c r="AY43" s="5" t="s">
        <v>1918</v>
      </c>
      <c r="AZ43" s="5" t="s">
        <v>1918</v>
      </c>
      <c r="BA43" s="5" t="s">
        <v>1918</v>
      </c>
      <c r="BB43" s="5" t="s">
        <v>1918</v>
      </c>
      <c r="BC43" s="5" t="s">
        <v>1918</v>
      </c>
      <c r="BD43" s="5">
        <v>1016</v>
      </c>
      <c r="BE43" s="5" t="s">
        <v>1550</v>
      </c>
      <c r="BF43" s="5">
        <v>0</v>
      </c>
      <c r="BG43" s="5" t="s">
        <v>1918</v>
      </c>
      <c r="BH43" s="5" t="s">
        <v>1918</v>
      </c>
      <c r="BI43" s="5" t="s">
        <v>1918</v>
      </c>
      <c r="BJ43" s="5" t="s">
        <v>1918</v>
      </c>
      <c r="BK43" s="5" t="s">
        <v>1918</v>
      </c>
      <c r="BL43" s="5" t="s">
        <v>1918</v>
      </c>
      <c r="BM43" s="5" t="s">
        <v>1918</v>
      </c>
      <c r="BN43" s="5" t="s">
        <v>1918</v>
      </c>
      <c r="BO43" s="5" t="s">
        <v>1918</v>
      </c>
      <c r="BP43" s="5" t="s">
        <v>1918</v>
      </c>
      <c r="BQ43" s="5" t="s">
        <v>1918</v>
      </c>
      <c r="BR43" s="5" t="s">
        <v>1927</v>
      </c>
      <c r="BS43" s="5" t="s">
        <v>1962</v>
      </c>
      <c r="BT43" s="5">
        <v>0</v>
      </c>
      <c r="BU43">
        <f>COUNTIF('오픈소스&amp;직접수집'!F:F,'wos(corecollection)_260528'!BE43)</f>
        <v>0</v>
      </c>
      <c r="BV43">
        <f>COUNTIF('오픈소스&amp;직접수집'!A:A,'wos(corecollection)_260528'!I43)</f>
        <v>1</v>
      </c>
      <c r="BW43">
        <f t="shared" si="0"/>
        <v>1</v>
      </c>
    </row>
    <row r="44" spans="1:75" x14ac:dyDescent="0.3">
      <c r="A44" s="5" t="s">
        <v>2235</v>
      </c>
      <c r="B44" s="5" t="s">
        <v>2259</v>
      </c>
      <c r="C44" s="5" t="s">
        <v>1918</v>
      </c>
      <c r="D44" s="5" t="s">
        <v>1918</v>
      </c>
      <c r="E44" s="5" t="s">
        <v>1918</v>
      </c>
      <c r="F44" s="5" t="s">
        <v>2260</v>
      </c>
      <c r="G44" s="5" t="s">
        <v>1918</v>
      </c>
      <c r="H44" s="5" t="s">
        <v>1918</v>
      </c>
      <c r="I44" s="5" t="s">
        <v>2261</v>
      </c>
      <c r="J44" s="5" t="s">
        <v>2262</v>
      </c>
      <c r="K44" s="5" t="s">
        <v>1918</v>
      </c>
      <c r="L44" s="5" t="s">
        <v>1918</v>
      </c>
      <c r="M44" s="5" t="s">
        <v>1918</v>
      </c>
      <c r="N44" s="5" t="s">
        <v>2263</v>
      </c>
      <c r="O44" s="5" t="s">
        <v>1918</v>
      </c>
      <c r="P44" s="5" t="s">
        <v>1918</v>
      </c>
      <c r="Q44" s="5" t="s">
        <v>1918</v>
      </c>
      <c r="R44" s="5" t="s">
        <v>1918</v>
      </c>
      <c r="S44" s="5" t="s">
        <v>1918</v>
      </c>
      <c r="T44" s="5" t="s">
        <v>1918</v>
      </c>
      <c r="U44" s="5" t="s">
        <v>1918</v>
      </c>
      <c r="V44" s="5" t="s">
        <v>2264</v>
      </c>
      <c r="W44" s="5" t="s">
        <v>2265</v>
      </c>
      <c r="X44" s="5" t="s">
        <v>1918</v>
      </c>
      <c r="Y44" s="5" t="s">
        <v>2266</v>
      </c>
      <c r="Z44" s="5" t="s">
        <v>2267</v>
      </c>
      <c r="AA44" s="5" t="s">
        <v>1918</v>
      </c>
      <c r="AB44" s="5" t="s">
        <v>1918</v>
      </c>
      <c r="AC44" s="5" t="s">
        <v>1918</v>
      </c>
      <c r="AD44" s="5" t="s">
        <v>1918</v>
      </c>
      <c r="AE44" s="5" t="s">
        <v>1918</v>
      </c>
      <c r="AF44" s="5" t="s">
        <v>1918</v>
      </c>
      <c r="AG44" s="5">
        <v>22</v>
      </c>
      <c r="AH44" s="5">
        <v>0</v>
      </c>
      <c r="AI44" s="5">
        <v>0</v>
      </c>
      <c r="AJ44" s="5" t="s">
        <v>1918</v>
      </c>
      <c r="AK44" s="5" t="s">
        <v>1918</v>
      </c>
      <c r="AL44" s="5" t="s">
        <v>1918</v>
      </c>
      <c r="AM44" s="5" t="s">
        <v>1918</v>
      </c>
      <c r="AN44" s="5" t="s">
        <v>1918</v>
      </c>
      <c r="AO44" s="5" t="s">
        <v>1918</v>
      </c>
      <c r="AP44" s="5" t="s">
        <v>1918</v>
      </c>
      <c r="AQ44" s="5" t="s">
        <v>1918</v>
      </c>
      <c r="AR44" s="5" t="s">
        <v>1918</v>
      </c>
      <c r="AS44" s="5" t="s">
        <v>1918</v>
      </c>
      <c r="AT44" s="5" t="s">
        <v>2268</v>
      </c>
      <c r="AU44" s="5">
        <v>2025</v>
      </c>
      <c r="AV44" s="5" t="s">
        <v>1918</v>
      </c>
      <c r="AW44" s="5" t="s">
        <v>1918</v>
      </c>
      <c r="AX44" s="5" t="s">
        <v>1918</v>
      </c>
      <c r="AY44" s="5" t="s">
        <v>1918</v>
      </c>
      <c r="AZ44" s="5" t="s">
        <v>1918</v>
      </c>
      <c r="BA44" s="5" t="s">
        <v>1918</v>
      </c>
      <c r="BB44" s="5" t="s">
        <v>1918</v>
      </c>
      <c r="BC44" s="5" t="s">
        <v>1918</v>
      </c>
      <c r="BD44" s="5" t="s">
        <v>1918</v>
      </c>
      <c r="BE44" s="5" t="s">
        <v>2269</v>
      </c>
      <c r="BF44" s="5">
        <v>0</v>
      </c>
      <c r="BG44" s="5" t="s">
        <v>1918</v>
      </c>
      <c r="BH44" s="5" t="s">
        <v>2270</v>
      </c>
      <c r="BI44" s="5" t="s">
        <v>1918</v>
      </c>
      <c r="BJ44" s="5" t="s">
        <v>1918</v>
      </c>
      <c r="BK44" s="5" t="s">
        <v>1918</v>
      </c>
      <c r="BL44" s="5" t="s">
        <v>1918</v>
      </c>
      <c r="BM44" s="5" t="s">
        <v>1918</v>
      </c>
      <c r="BN44" s="5" t="s">
        <v>1918</v>
      </c>
      <c r="BO44" s="5" t="s">
        <v>1918</v>
      </c>
      <c r="BP44" s="5" t="s">
        <v>1918</v>
      </c>
      <c r="BQ44" s="5" t="s">
        <v>1918</v>
      </c>
      <c r="BR44" s="5" t="s">
        <v>1927</v>
      </c>
      <c r="BS44" s="5" t="s">
        <v>2271</v>
      </c>
      <c r="BT44" s="5">
        <v>0</v>
      </c>
      <c r="BU44">
        <f>COUNTIF('오픈소스&amp;직접수집'!F:F,'wos(corecollection)_260528'!BE44)</f>
        <v>0</v>
      </c>
      <c r="BV44">
        <f>COUNTIF('오픈소스&amp;직접수집'!A:A,'wos(corecollection)_260528'!I44)</f>
        <v>0</v>
      </c>
      <c r="BW44">
        <f t="shared" si="0"/>
        <v>0</v>
      </c>
    </row>
    <row r="45" spans="1:75" x14ac:dyDescent="0.3">
      <c r="A45" s="5" t="s">
        <v>2235</v>
      </c>
      <c r="B45" s="5" t="s">
        <v>2272</v>
      </c>
      <c r="C45" s="5" t="s">
        <v>1918</v>
      </c>
      <c r="D45" s="5" t="s">
        <v>1918</v>
      </c>
      <c r="E45" s="5" t="s">
        <v>1918</v>
      </c>
      <c r="F45" s="5" t="s">
        <v>2273</v>
      </c>
      <c r="G45" s="5" t="s">
        <v>1918</v>
      </c>
      <c r="H45" s="5" t="s">
        <v>1918</v>
      </c>
      <c r="I45" s="5" t="s">
        <v>2274</v>
      </c>
      <c r="J45" s="5" t="s">
        <v>1942</v>
      </c>
      <c r="K45" s="5" t="s">
        <v>1918</v>
      </c>
      <c r="L45" s="5" t="s">
        <v>1918</v>
      </c>
      <c r="M45" s="5" t="s">
        <v>1918</v>
      </c>
      <c r="N45" s="5" t="s">
        <v>1920</v>
      </c>
      <c r="O45" s="5" t="s">
        <v>1918</v>
      </c>
      <c r="P45" s="5" t="s">
        <v>1918</v>
      </c>
      <c r="Q45" s="5" t="s">
        <v>1918</v>
      </c>
      <c r="R45" s="5" t="s">
        <v>1918</v>
      </c>
      <c r="S45" s="5" t="s">
        <v>1918</v>
      </c>
      <c r="T45" s="5" t="s">
        <v>1918</v>
      </c>
      <c r="U45" s="5" t="s">
        <v>1918</v>
      </c>
      <c r="V45" s="5" t="s">
        <v>2275</v>
      </c>
      <c r="W45" s="5" t="s">
        <v>2276</v>
      </c>
      <c r="X45" s="5" t="s">
        <v>1918</v>
      </c>
      <c r="Y45" s="5" t="s">
        <v>2277</v>
      </c>
      <c r="Z45" s="5" t="s">
        <v>2278</v>
      </c>
      <c r="AA45" s="5" t="s">
        <v>1918</v>
      </c>
      <c r="AB45" s="5" t="s">
        <v>1918</v>
      </c>
      <c r="AC45" s="5" t="s">
        <v>1918</v>
      </c>
      <c r="AD45" s="5" t="s">
        <v>1918</v>
      </c>
      <c r="AE45" s="5" t="s">
        <v>1918</v>
      </c>
      <c r="AF45" s="5" t="s">
        <v>1918</v>
      </c>
      <c r="AG45" s="5">
        <v>111</v>
      </c>
      <c r="AH45" s="5">
        <v>2</v>
      </c>
      <c r="AI45" s="5">
        <v>2</v>
      </c>
      <c r="AJ45" s="5" t="s">
        <v>1918</v>
      </c>
      <c r="AK45" s="5" t="s">
        <v>1918</v>
      </c>
      <c r="AL45" s="5" t="s">
        <v>1918</v>
      </c>
      <c r="AM45" s="5" t="s">
        <v>1918</v>
      </c>
      <c r="AN45" s="5" t="s">
        <v>1918</v>
      </c>
      <c r="AO45" s="5" t="s">
        <v>1918</v>
      </c>
      <c r="AP45" s="5" t="s">
        <v>1918</v>
      </c>
      <c r="AQ45" s="5" t="s">
        <v>1918</v>
      </c>
      <c r="AR45" s="5" t="s">
        <v>1918</v>
      </c>
      <c r="AS45" s="5" t="s">
        <v>1918</v>
      </c>
      <c r="AT45" s="5" t="s">
        <v>2002</v>
      </c>
      <c r="AU45" s="5">
        <v>2025</v>
      </c>
      <c r="AV45" s="5">
        <v>20</v>
      </c>
      <c r="AW45" s="5">
        <v>4</v>
      </c>
      <c r="AX45" s="5" t="s">
        <v>1918</v>
      </c>
      <c r="AY45" s="5" t="s">
        <v>1918</v>
      </c>
      <c r="AZ45" s="5" t="s">
        <v>1918</v>
      </c>
      <c r="BA45" s="5" t="s">
        <v>1918</v>
      </c>
      <c r="BB45" s="5" t="s">
        <v>1918</v>
      </c>
      <c r="BC45" s="5" t="s">
        <v>1918</v>
      </c>
      <c r="BD45" s="5" t="s">
        <v>2279</v>
      </c>
      <c r="BE45" s="5" t="s">
        <v>2280</v>
      </c>
      <c r="BF45" s="5">
        <v>0</v>
      </c>
      <c r="BG45" s="5" t="s">
        <v>1918</v>
      </c>
      <c r="BH45" s="5" t="s">
        <v>1918</v>
      </c>
      <c r="BI45" s="5" t="s">
        <v>1918</v>
      </c>
      <c r="BJ45" s="5" t="s">
        <v>1918</v>
      </c>
      <c r="BK45" s="5" t="s">
        <v>1918</v>
      </c>
      <c r="BL45" s="5" t="s">
        <v>1918</v>
      </c>
      <c r="BM45" s="5" t="s">
        <v>1918</v>
      </c>
      <c r="BN45" s="5" t="s">
        <v>1918</v>
      </c>
      <c r="BO45" s="5" t="s">
        <v>1918</v>
      </c>
      <c r="BP45" s="5" t="s">
        <v>1918</v>
      </c>
      <c r="BQ45" s="5" t="s">
        <v>1918</v>
      </c>
      <c r="BR45" s="5" t="s">
        <v>1927</v>
      </c>
      <c r="BS45" s="5" t="s">
        <v>2281</v>
      </c>
      <c r="BT45" s="5">
        <v>0</v>
      </c>
      <c r="BU45">
        <f>COUNTIF('오픈소스&amp;직접수집'!F:F,'wos(corecollection)_260528'!BE45)</f>
        <v>0</v>
      </c>
      <c r="BV45">
        <f>COUNTIF('오픈소스&amp;직접수집'!A:A,'wos(corecollection)_260528'!I45)</f>
        <v>0</v>
      </c>
      <c r="BW45">
        <f t="shared" si="0"/>
        <v>0</v>
      </c>
    </row>
    <row r="46" spans="1:75" x14ac:dyDescent="0.3">
      <c r="A46" s="5" t="s">
        <v>2235</v>
      </c>
      <c r="B46" s="5" t="s">
        <v>1731</v>
      </c>
      <c r="C46" s="5" t="s">
        <v>1918</v>
      </c>
      <c r="D46" s="5" t="s">
        <v>1918</v>
      </c>
      <c r="E46" s="5" t="s">
        <v>1918</v>
      </c>
      <c r="F46" s="5" t="s">
        <v>732</v>
      </c>
      <c r="G46" s="5" t="s">
        <v>1918</v>
      </c>
      <c r="H46" s="5" t="s">
        <v>1918</v>
      </c>
      <c r="I46" s="5" t="s">
        <v>1679</v>
      </c>
      <c r="J46" s="5" t="s">
        <v>1772</v>
      </c>
      <c r="K46" s="5" t="s">
        <v>1918</v>
      </c>
      <c r="L46" s="5" t="s">
        <v>1918</v>
      </c>
      <c r="M46" s="5" t="s">
        <v>1918</v>
      </c>
      <c r="N46" s="5" t="s">
        <v>1920</v>
      </c>
      <c r="O46" s="5" t="s">
        <v>1918</v>
      </c>
      <c r="P46" s="5" t="s">
        <v>1918</v>
      </c>
      <c r="Q46" s="5" t="s">
        <v>1918</v>
      </c>
      <c r="R46" s="5" t="s">
        <v>1918</v>
      </c>
      <c r="S46" s="5" t="s">
        <v>1918</v>
      </c>
      <c r="T46" s="5" t="s">
        <v>1918</v>
      </c>
      <c r="U46" s="5" t="s">
        <v>1918</v>
      </c>
      <c r="V46" s="5" t="s">
        <v>1713</v>
      </c>
      <c r="W46" s="5" t="s">
        <v>1971</v>
      </c>
      <c r="X46" s="5" t="s">
        <v>1918</v>
      </c>
      <c r="Y46" s="5" t="s">
        <v>1972</v>
      </c>
      <c r="Z46" s="5" t="s">
        <v>1960</v>
      </c>
      <c r="AA46" s="5" t="s">
        <v>1918</v>
      </c>
      <c r="AB46" s="5" t="s">
        <v>1918</v>
      </c>
      <c r="AC46" s="5" t="s">
        <v>1918</v>
      </c>
      <c r="AD46" s="5" t="s">
        <v>1918</v>
      </c>
      <c r="AE46" s="5" t="s">
        <v>1918</v>
      </c>
      <c r="AF46" s="5" t="s">
        <v>1918</v>
      </c>
      <c r="AG46" s="5">
        <v>41</v>
      </c>
      <c r="AH46" s="5">
        <v>4</v>
      </c>
      <c r="AI46" s="5">
        <v>5</v>
      </c>
      <c r="AJ46" s="5" t="s">
        <v>1918</v>
      </c>
      <c r="AK46" s="5" t="s">
        <v>1918</v>
      </c>
      <c r="AL46" s="5" t="s">
        <v>1918</v>
      </c>
      <c r="AM46" s="5" t="s">
        <v>1918</v>
      </c>
      <c r="AN46" s="5" t="s">
        <v>1918</v>
      </c>
      <c r="AO46" s="5" t="s">
        <v>1918</v>
      </c>
      <c r="AP46" s="5" t="s">
        <v>1918</v>
      </c>
      <c r="AQ46" s="5" t="s">
        <v>1918</v>
      </c>
      <c r="AR46" s="5" t="s">
        <v>1918</v>
      </c>
      <c r="AS46" s="5" t="s">
        <v>1918</v>
      </c>
      <c r="AT46" s="5" t="s">
        <v>1973</v>
      </c>
      <c r="AU46" s="5">
        <v>2024</v>
      </c>
      <c r="AV46" s="5">
        <v>54</v>
      </c>
      <c r="AW46" s="5">
        <v>3</v>
      </c>
      <c r="AX46" s="5" t="s">
        <v>1918</v>
      </c>
      <c r="AY46" s="5" t="s">
        <v>1918</v>
      </c>
      <c r="AZ46" s="5" t="s">
        <v>1918</v>
      </c>
      <c r="BA46" s="5" t="s">
        <v>1918</v>
      </c>
      <c r="BB46" s="5">
        <v>358</v>
      </c>
      <c r="BC46" s="5">
        <v>371</v>
      </c>
      <c r="BD46" s="5" t="s">
        <v>1918</v>
      </c>
      <c r="BE46" s="5" t="s">
        <v>1974</v>
      </c>
      <c r="BF46" s="5">
        <v>0</v>
      </c>
      <c r="BG46" s="5" t="s">
        <v>1918</v>
      </c>
      <c r="BH46" s="5" t="s">
        <v>1918</v>
      </c>
      <c r="BI46" s="5" t="s">
        <v>1918</v>
      </c>
      <c r="BJ46" s="5" t="s">
        <v>1918</v>
      </c>
      <c r="BK46" s="5" t="s">
        <v>1918</v>
      </c>
      <c r="BL46" s="5" t="s">
        <v>1918</v>
      </c>
      <c r="BM46" s="5" t="s">
        <v>1918</v>
      </c>
      <c r="BN46" s="5" t="s">
        <v>1918</v>
      </c>
      <c r="BO46" s="5" t="s">
        <v>1918</v>
      </c>
      <c r="BP46" s="5" t="s">
        <v>1918</v>
      </c>
      <c r="BQ46" s="5" t="s">
        <v>1918</v>
      </c>
      <c r="BR46" s="5" t="s">
        <v>1927</v>
      </c>
      <c r="BS46" s="5" t="s">
        <v>1975</v>
      </c>
      <c r="BT46" s="5">
        <v>0</v>
      </c>
      <c r="BU46">
        <f>COUNTIF('오픈소스&amp;직접수집'!F:F,'wos(corecollection)_260528'!BE46)</f>
        <v>1</v>
      </c>
      <c r="BV46">
        <f>COUNTIF('오픈소스&amp;직접수집'!A:A,'wos(corecollection)_260528'!I46)</f>
        <v>1</v>
      </c>
      <c r="BW46">
        <f t="shared" si="0"/>
        <v>2</v>
      </c>
    </row>
    <row r="47" spans="1:75" x14ac:dyDescent="0.3">
      <c r="A47" s="5" t="s">
        <v>2235</v>
      </c>
      <c r="B47" s="5" t="s">
        <v>1997</v>
      </c>
      <c r="C47" s="5" t="s">
        <v>1918</v>
      </c>
      <c r="D47" s="5" t="s">
        <v>1918</v>
      </c>
      <c r="E47" s="5" t="s">
        <v>1918</v>
      </c>
      <c r="F47" s="5" t="s">
        <v>1998</v>
      </c>
      <c r="G47" s="5" t="s">
        <v>1918</v>
      </c>
      <c r="H47" s="5" t="s">
        <v>1918</v>
      </c>
      <c r="I47" s="5" t="s">
        <v>1325</v>
      </c>
      <c r="J47" s="5" t="s">
        <v>1942</v>
      </c>
      <c r="K47" s="5" t="s">
        <v>1918</v>
      </c>
      <c r="L47" s="5" t="s">
        <v>1918</v>
      </c>
      <c r="M47" s="5" t="s">
        <v>1918</v>
      </c>
      <c r="N47" s="5" t="s">
        <v>1920</v>
      </c>
      <c r="O47" s="5" t="s">
        <v>1918</v>
      </c>
      <c r="P47" s="5" t="s">
        <v>1918</v>
      </c>
      <c r="Q47" s="5" t="s">
        <v>1918</v>
      </c>
      <c r="R47" s="5" t="s">
        <v>1918</v>
      </c>
      <c r="S47" s="5" t="s">
        <v>1918</v>
      </c>
      <c r="T47" s="5" t="s">
        <v>1918</v>
      </c>
      <c r="U47" s="5" t="s">
        <v>1918</v>
      </c>
      <c r="V47" s="5" t="s">
        <v>1574</v>
      </c>
      <c r="W47" s="5" t="s">
        <v>1999</v>
      </c>
      <c r="X47" s="5" t="s">
        <v>1918</v>
      </c>
      <c r="Y47" s="5" t="s">
        <v>2000</v>
      </c>
      <c r="Z47" s="5" t="s">
        <v>2001</v>
      </c>
      <c r="AA47" s="5" t="s">
        <v>1918</v>
      </c>
      <c r="AB47" s="5" t="s">
        <v>1918</v>
      </c>
      <c r="AC47" s="5" t="s">
        <v>1918</v>
      </c>
      <c r="AD47" s="5" t="s">
        <v>1918</v>
      </c>
      <c r="AE47" s="5" t="s">
        <v>1918</v>
      </c>
      <c r="AF47" s="5" t="s">
        <v>1918</v>
      </c>
      <c r="AG47" s="5">
        <v>46</v>
      </c>
      <c r="AH47" s="5">
        <v>1</v>
      </c>
      <c r="AI47" s="5">
        <v>1</v>
      </c>
      <c r="AJ47" s="5" t="s">
        <v>1918</v>
      </c>
      <c r="AK47" s="5" t="s">
        <v>1918</v>
      </c>
      <c r="AL47" s="5" t="s">
        <v>1918</v>
      </c>
      <c r="AM47" s="5" t="s">
        <v>1918</v>
      </c>
      <c r="AN47" s="5" t="s">
        <v>1918</v>
      </c>
      <c r="AO47" s="5" t="s">
        <v>1918</v>
      </c>
      <c r="AP47" s="5" t="s">
        <v>1918</v>
      </c>
      <c r="AQ47" s="5" t="s">
        <v>1918</v>
      </c>
      <c r="AR47" s="5" t="s">
        <v>1918</v>
      </c>
      <c r="AS47" s="5" t="s">
        <v>1918</v>
      </c>
      <c r="AT47" s="5" t="s">
        <v>2002</v>
      </c>
      <c r="AU47" s="5">
        <v>2024</v>
      </c>
      <c r="AV47" s="5">
        <v>19</v>
      </c>
      <c r="AW47" s="5">
        <v>4</v>
      </c>
      <c r="AX47" s="5" t="s">
        <v>1918</v>
      </c>
      <c r="AY47" s="5" t="s">
        <v>1918</v>
      </c>
      <c r="AZ47" s="5" t="s">
        <v>1918</v>
      </c>
      <c r="BA47" s="5" t="s">
        <v>1918</v>
      </c>
      <c r="BB47" s="5" t="s">
        <v>1918</v>
      </c>
      <c r="BC47" s="5" t="s">
        <v>1918</v>
      </c>
      <c r="BD47" s="5" t="s">
        <v>1328</v>
      </c>
      <c r="BE47" s="5" t="s">
        <v>1573</v>
      </c>
      <c r="BF47" s="5">
        <v>0</v>
      </c>
      <c r="BG47" s="5" t="s">
        <v>1918</v>
      </c>
      <c r="BH47" s="5" t="s">
        <v>1918</v>
      </c>
      <c r="BI47" s="5" t="s">
        <v>1918</v>
      </c>
      <c r="BJ47" s="5" t="s">
        <v>1918</v>
      </c>
      <c r="BK47" s="5" t="s">
        <v>1918</v>
      </c>
      <c r="BL47" s="5" t="s">
        <v>1918</v>
      </c>
      <c r="BM47" s="5" t="s">
        <v>1918</v>
      </c>
      <c r="BN47" s="5" t="s">
        <v>1918</v>
      </c>
      <c r="BO47" s="5" t="s">
        <v>1918</v>
      </c>
      <c r="BP47" s="5" t="s">
        <v>1918</v>
      </c>
      <c r="BQ47" s="5" t="s">
        <v>1918</v>
      </c>
      <c r="BR47" s="5" t="s">
        <v>1927</v>
      </c>
      <c r="BS47" s="5" t="s">
        <v>2003</v>
      </c>
      <c r="BT47" s="5">
        <v>0</v>
      </c>
      <c r="BU47">
        <f>COUNTIF('오픈소스&amp;직접수집'!F:F,'wos(corecollection)_260528'!BE47)</f>
        <v>1</v>
      </c>
      <c r="BV47">
        <f>COUNTIF('오픈소스&amp;직접수집'!A:A,'wos(corecollection)_260528'!I47)</f>
        <v>1</v>
      </c>
      <c r="BW47">
        <f t="shared" si="0"/>
        <v>2</v>
      </c>
    </row>
    <row r="48" spans="1:75" x14ac:dyDescent="0.3">
      <c r="A48" s="5" t="s">
        <v>2235</v>
      </c>
      <c r="B48" s="5" t="s">
        <v>2282</v>
      </c>
      <c r="C48" s="5" t="s">
        <v>1918</v>
      </c>
      <c r="D48" s="5" t="s">
        <v>1918</v>
      </c>
      <c r="E48" s="5" t="s">
        <v>1918</v>
      </c>
      <c r="F48" s="5" t="s">
        <v>2283</v>
      </c>
      <c r="G48" s="5" t="s">
        <v>1918</v>
      </c>
      <c r="H48" s="5" t="s">
        <v>1918</v>
      </c>
      <c r="I48" s="5" t="s">
        <v>2284</v>
      </c>
      <c r="J48" s="5" t="s">
        <v>2285</v>
      </c>
      <c r="K48" s="5" t="s">
        <v>1918</v>
      </c>
      <c r="L48" s="5" t="s">
        <v>1918</v>
      </c>
      <c r="M48" s="5" t="s">
        <v>1918</v>
      </c>
      <c r="N48" s="5" t="s">
        <v>1920</v>
      </c>
      <c r="O48" s="5" t="s">
        <v>1918</v>
      </c>
      <c r="P48" s="5" t="s">
        <v>1918</v>
      </c>
      <c r="Q48" s="5" t="s">
        <v>1918</v>
      </c>
      <c r="R48" s="5" t="s">
        <v>1918</v>
      </c>
      <c r="S48" s="5" t="s">
        <v>1918</v>
      </c>
      <c r="T48" s="5" t="s">
        <v>1918</v>
      </c>
      <c r="U48" s="5" t="s">
        <v>1918</v>
      </c>
      <c r="V48" s="5" t="s">
        <v>2286</v>
      </c>
      <c r="W48" s="5" t="s">
        <v>2287</v>
      </c>
      <c r="X48" s="5" t="s">
        <v>1918</v>
      </c>
      <c r="Y48" s="5" t="s">
        <v>2288</v>
      </c>
      <c r="Z48" s="5" t="s">
        <v>2289</v>
      </c>
      <c r="AA48" s="5" t="s">
        <v>1918</v>
      </c>
      <c r="AB48" s="5" t="s">
        <v>1918</v>
      </c>
      <c r="AC48" s="5" t="s">
        <v>1918</v>
      </c>
      <c r="AD48" s="5" t="s">
        <v>1918</v>
      </c>
      <c r="AE48" s="5" t="s">
        <v>1918</v>
      </c>
      <c r="AF48" s="5" t="s">
        <v>1918</v>
      </c>
      <c r="AG48" s="5">
        <v>34</v>
      </c>
      <c r="AH48" s="5">
        <v>3</v>
      </c>
      <c r="AI48" s="5">
        <v>3</v>
      </c>
      <c r="AJ48" s="5" t="s">
        <v>1918</v>
      </c>
      <c r="AK48" s="5" t="s">
        <v>1918</v>
      </c>
      <c r="AL48" s="5" t="s">
        <v>1918</v>
      </c>
      <c r="AM48" s="5" t="s">
        <v>1918</v>
      </c>
      <c r="AN48" s="5" t="s">
        <v>1918</v>
      </c>
      <c r="AO48" s="5" t="s">
        <v>1918</v>
      </c>
      <c r="AP48" s="5" t="s">
        <v>1918</v>
      </c>
      <c r="AQ48" s="5" t="s">
        <v>1918</v>
      </c>
      <c r="AR48" s="5" t="s">
        <v>1918</v>
      </c>
      <c r="AS48" s="5" t="s">
        <v>1918</v>
      </c>
      <c r="AT48" s="5" t="s">
        <v>2290</v>
      </c>
      <c r="AU48" s="5">
        <v>2024</v>
      </c>
      <c r="AV48" s="5">
        <v>32</v>
      </c>
      <c r="AW48" s="5">
        <v>1</v>
      </c>
      <c r="AX48" s="5" t="s">
        <v>1918</v>
      </c>
      <c r="AY48" s="5" t="s">
        <v>1918</v>
      </c>
      <c r="AZ48" s="5" t="s">
        <v>1918</v>
      </c>
      <c r="BA48" s="5" t="s">
        <v>1918</v>
      </c>
      <c r="BB48" s="5" t="s">
        <v>1918</v>
      </c>
      <c r="BC48" s="5" t="s">
        <v>1918</v>
      </c>
      <c r="BD48" s="5" t="s">
        <v>2291</v>
      </c>
      <c r="BE48" s="5" t="s">
        <v>2292</v>
      </c>
      <c r="BF48" s="5">
        <v>0</v>
      </c>
      <c r="BG48" s="5" t="s">
        <v>1918</v>
      </c>
      <c r="BH48" s="5" t="s">
        <v>1918</v>
      </c>
      <c r="BI48" s="5" t="s">
        <v>1918</v>
      </c>
      <c r="BJ48" s="5" t="s">
        <v>1918</v>
      </c>
      <c r="BK48" s="5" t="s">
        <v>1918</v>
      </c>
      <c r="BL48" s="5" t="s">
        <v>1918</v>
      </c>
      <c r="BM48" s="5" t="s">
        <v>1918</v>
      </c>
      <c r="BN48" s="5" t="s">
        <v>1918</v>
      </c>
      <c r="BO48" s="5" t="s">
        <v>1918</v>
      </c>
      <c r="BP48" s="5" t="s">
        <v>1918</v>
      </c>
      <c r="BQ48" s="5" t="s">
        <v>1918</v>
      </c>
      <c r="BR48" s="5" t="s">
        <v>1927</v>
      </c>
      <c r="BS48" s="5" t="s">
        <v>2293</v>
      </c>
      <c r="BT48" s="5">
        <v>0</v>
      </c>
      <c r="BU48">
        <f>COUNTIF('오픈소스&amp;직접수집'!F:F,'wos(corecollection)_260528'!BE48)</f>
        <v>0</v>
      </c>
      <c r="BV48">
        <f>COUNTIF('오픈소스&amp;직접수집'!A:A,'wos(corecollection)_260528'!I48)</f>
        <v>0</v>
      </c>
      <c r="BW48">
        <f t="shared" si="0"/>
        <v>0</v>
      </c>
    </row>
    <row r="49" spans="1:75" x14ac:dyDescent="0.3">
      <c r="A49" s="5" t="s">
        <v>2235</v>
      </c>
      <c r="B49" s="5" t="s">
        <v>2294</v>
      </c>
      <c r="C49" s="5" t="s">
        <v>1918</v>
      </c>
      <c r="D49" s="5" t="s">
        <v>1918</v>
      </c>
      <c r="E49" s="5" t="s">
        <v>1918</v>
      </c>
      <c r="F49" s="5" t="s">
        <v>2295</v>
      </c>
      <c r="G49" s="5" t="s">
        <v>1918</v>
      </c>
      <c r="H49" s="5" t="s">
        <v>1918</v>
      </c>
      <c r="I49" s="5" t="s">
        <v>2296</v>
      </c>
      <c r="J49" s="5" t="s">
        <v>1763</v>
      </c>
      <c r="K49" s="5" t="s">
        <v>1918</v>
      </c>
      <c r="L49" s="5" t="s">
        <v>1918</v>
      </c>
      <c r="M49" s="5" t="s">
        <v>1918</v>
      </c>
      <c r="N49" s="5" t="s">
        <v>1920</v>
      </c>
      <c r="O49" s="5" t="s">
        <v>1918</v>
      </c>
      <c r="P49" s="5" t="s">
        <v>1918</v>
      </c>
      <c r="Q49" s="5" t="s">
        <v>1918</v>
      </c>
      <c r="R49" s="5" t="s">
        <v>1918</v>
      </c>
      <c r="S49" s="5" t="s">
        <v>1918</v>
      </c>
      <c r="T49" s="5" t="s">
        <v>1918</v>
      </c>
      <c r="U49" s="5" t="s">
        <v>1918</v>
      </c>
      <c r="V49" s="5" t="s">
        <v>2297</v>
      </c>
      <c r="W49" s="5" t="s">
        <v>2298</v>
      </c>
      <c r="X49" s="5" t="s">
        <v>1918</v>
      </c>
      <c r="Y49" s="5" t="s">
        <v>2299</v>
      </c>
      <c r="Z49" s="5" t="s">
        <v>2300</v>
      </c>
      <c r="AA49" s="5" t="s">
        <v>1918</v>
      </c>
      <c r="AB49" s="5" t="s">
        <v>1918</v>
      </c>
      <c r="AC49" s="5" t="s">
        <v>1918</v>
      </c>
      <c r="AD49" s="5" t="s">
        <v>1918</v>
      </c>
      <c r="AE49" s="5" t="s">
        <v>1918</v>
      </c>
      <c r="AF49" s="5" t="s">
        <v>1918</v>
      </c>
      <c r="AG49" s="5">
        <v>16</v>
      </c>
      <c r="AH49" s="5">
        <v>2</v>
      </c>
      <c r="AI49" s="5">
        <v>2</v>
      </c>
      <c r="AJ49" s="5" t="s">
        <v>1918</v>
      </c>
      <c r="AK49" s="5" t="s">
        <v>1918</v>
      </c>
      <c r="AL49" s="5" t="s">
        <v>1918</v>
      </c>
      <c r="AM49" s="5" t="s">
        <v>1918</v>
      </c>
      <c r="AN49" s="5" t="s">
        <v>1918</v>
      </c>
      <c r="AO49" s="5" t="s">
        <v>1918</v>
      </c>
      <c r="AP49" s="5" t="s">
        <v>1918</v>
      </c>
      <c r="AQ49" s="5" t="s">
        <v>1918</v>
      </c>
      <c r="AR49" s="5" t="s">
        <v>1918</v>
      </c>
      <c r="AS49" s="5" t="s">
        <v>1918</v>
      </c>
      <c r="AT49" s="5" t="s">
        <v>2077</v>
      </c>
      <c r="AU49" s="5">
        <v>2024</v>
      </c>
      <c r="AV49" s="5">
        <v>42</v>
      </c>
      <c r="AW49" s="5">
        <v>2</v>
      </c>
      <c r="AX49" s="5" t="s">
        <v>1918</v>
      </c>
      <c r="AY49" s="5" t="s">
        <v>1918</v>
      </c>
      <c r="AZ49" s="5" t="s">
        <v>1918</v>
      </c>
      <c r="BA49" s="5" t="s">
        <v>1918</v>
      </c>
      <c r="BB49" s="5">
        <v>109</v>
      </c>
      <c r="BC49" s="5">
        <v>117</v>
      </c>
      <c r="BD49" s="5" t="s">
        <v>1918</v>
      </c>
      <c r="BE49" s="5" t="s">
        <v>2301</v>
      </c>
      <c r="BF49" s="5">
        <v>0</v>
      </c>
      <c r="BG49" s="5" t="s">
        <v>1918</v>
      </c>
      <c r="BH49" s="5" t="s">
        <v>1918</v>
      </c>
      <c r="BI49" s="5" t="s">
        <v>1918</v>
      </c>
      <c r="BJ49" s="5" t="s">
        <v>1918</v>
      </c>
      <c r="BK49" s="5" t="s">
        <v>1918</v>
      </c>
      <c r="BL49" s="5" t="s">
        <v>1918</v>
      </c>
      <c r="BM49" s="5" t="s">
        <v>1918</v>
      </c>
      <c r="BN49" s="5" t="s">
        <v>1918</v>
      </c>
      <c r="BO49" s="5" t="s">
        <v>1918</v>
      </c>
      <c r="BP49" s="5" t="s">
        <v>1918</v>
      </c>
      <c r="BQ49" s="5" t="s">
        <v>1918</v>
      </c>
      <c r="BR49" s="5" t="s">
        <v>1927</v>
      </c>
      <c r="BS49" s="5" t="s">
        <v>2302</v>
      </c>
      <c r="BT49" s="5">
        <v>0</v>
      </c>
      <c r="BU49">
        <f>COUNTIF('오픈소스&amp;직접수집'!F:F,'wos(corecollection)_260528'!BE49)</f>
        <v>0</v>
      </c>
      <c r="BV49">
        <f>COUNTIF('오픈소스&amp;직접수집'!A:A,'wos(corecollection)_260528'!I49)</f>
        <v>0</v>
      </c>
      <c r="BW49">
        <f t="shared" si="0"/>
        <v>0</v>
      </c>
    </row>
    <row r="50" spans="1:75" x14ac:dyDescent="0.3">
      <c r="A50" s="5" t="s">
        <v>2235</v>
      </c>
      <c r="B50" s="5" t="s">
        <v>2303</v>
      </c>
      <c r="C50" s="5" t="s">
        <v>1918</v>
      </c>
      <c r="D50" s="5" t="s">
        <v>1918</v>
      </c>
      <c r="E50" s="5" t="s">
        <v>1918</v>
      </c>
      <c r="F50" s="5" t="s">
        <v>2304</v>
      </c>
      <c r="G50" s="5" t="s">
        <v>1918</v>
      </c>
      <c r="H50" s="5" t="s">
        <v>1918</v>
      </c>
      <c r="I50" s="5" t="s">
        <v>2305</v>
      </c>
      <c r="J50" s="5" t="s">
        <v>2306</v>
      </c>
      <c r="K50" s="5" t="s">
        <v>1918</v>
      </c>
      <c r="L50" s="5" t="s">
        <v>1918</v>
      </c>
      <c r="M50" s="5" t="s">
        <v>1918</v>
      </c>
      <c r="N50" s="5" t="s">
        <v>1920</v>
      </c>
      <c r="O50" s="5" t="s">
        <v>1918</v>
      </c>
      <c r="P50" s="5" t="s">
        <v>1918</v>
      </c>
      <c r="Q50" s="5" t="s">
        <v>1918</v>
      </c>
      <c r="R50" s="5" t="s">
        <v>1918</v>
      </c>
      <c r="S50" s="5" t="s">
        <v>1918</v>
      </c>
      <c r="T50" s="5" t="s">
        <v>1918</v>
      </c>
      <c r="U50" s="5" t="s">
        <v>1918</v>
      </c>
      <c r="V50" s="5" t="s">
        <v>2307</v>
      </c>
      <c r="W50" s="5" t="s">
        <v>2308</v>
      </c>
      <c r="X50" s="5" t="s">
        <v>1918</v>
      </c>
      <c r="Y50" s="5" t="s">
        <v>2309</v>
      </c>
      <c r="Z50" s="5" t="s">
        <v>2310</v>
      </c>
      <c r="AA50" s="5" t="s">
        <v>1918</v>
      </c>
      <c r="AB50" s="5" t="s">
        <v>1918</v>
      </c>
      <c r="AC50" s="5" t="s">
        <v>1918</v>
      </c>
      <c r="AD50" s="5" t="s">
        <v>1918</v>
      </c>
      <c r="AE50" s="5" t="s">
        <v>1918</v>
      </c>
      <c r="AF50" s="5" t="s">
        <v>1918</v>
      </c>
      <c r="AG50" s="5">
        <v>98</v>
      </c>
      <c r="AH50" s="5">
        <v>8</v>
      </c>
      <c r="AI50" s="5">
        <v>8</v>
      </c>
      <c r="AJ50" s="5" t="s">
        <v>1918</v>
      </c>
      <c r="AK50" s="5" t="s">
        <v>1918</v>
      </c>
      <c r="AL50" s="5" t="s">
        <v>1918</v>
      </c>
      <c r="AM50" s="5" t="s">
        <v>1918</v>
      </c>
      <c r="AN50" s="5" t="s">
        <v>1918</v>
      </c>
      <c r="AO50" s="5" t="s">
        <v>1918</v>
      </c>
      <c r="AP50" s="5" t="s">
        <v>1918</v>
      </c>
      <c r="AQ50" s="5" t="s">
        <v>1918</v>
      </c>
      <c r="AR50" s="5" t="s">
        <v>1918</v>
      </c>
      <c r="AS50" s="5" t="s">
        <v>1918</v>
      </c>
      <c r="AT50" s="5" t="s">
        <v>2311</v>
      </c>
      <c r="AU50" s="5">
        <v>2025</v>
      </c>
      <c r="AV50" s="5">
        <v>32</v>
      </c>
      <c r="AW50" s="5">
        <v>5</v>
      </c>
      <c r="AX50" s="5" t="s">
        <v>1918</v>
      </c>
      <c r="AY50" s="5" t="s">
        <v>1918</v>
      </c>
      <c r="AZ50" s="5" t="s">
        <v>1918</v>
      </c>
      <c r="BA50" s="5" t="s">
        <v>1918</v>
      </c>
      <c r="BB50" s="5">
        <v>2814</v>
      </c>
      <c r="BC50" s="5">
        <v>2843</v>
      </c>
      <c r="BD50" s="5" t="s">
        <v>1918</v>
      </c>
      <c r="BE50" s="5" t="s">
        <v>2312</v>
      </c>
      <c r="BF50" s="5">
        <v>0</v>
      </c>
      <c r="BG50" s="5" t="s">
        <v>1918</v>
      </c>
      <c r="BH50" s="5" t="s">
        <v>2313</v>
      </c>
      <c r="BI50" s="5" t="s">
        <v>1918</v>
      </c>
      <c r="BJ50" s="5" t="s">
        <v>1918</v>
      </c>
      <c r="BK50" s="5" t="s">
        <v>1918</v>
      </c>
      <c r="BL50" s="5" t="s">
        <v>1918</v>
      </c>
      <c r="BM50" s="5" t="s">
        <v>1918</v>
      </c>
      <c r="BN50" s="5" t="s">
        <v>1918</v>
      </c>
      <c r="BO50" s="5" t="s">
        <v>1918</v>
      </c>
      <c r="BP50" s="5" t="s">
        <v>1918</v>
      </c>
      <c r="BQ50" s="5" t="s">
        <v>1918</v>
      </c>
      <c r="BR50" s="5" t="s">
        <v>1927</v>
      </c>
      <c r="BS50" s="5" t="s">
        <v>2314</v>
      </c>
      <c r="BT50" s="5">
        <v>0</v>
      </c>
      <c r="BU50">
        <f>COUNTIF('오픈소스&amp;직접수집'!F:F,'wos(corecollection)_260528'!BE50)</f>
        <v>0</v>
      </c>
      <c r="BV50">
        <f>COUNTIF('오픈소스&amp;직접수집'!A:A,'wos(corecollection)_260528'!I50)</f>
        <v>0</v>
      </c>
      <c r="BW50">
        <f t="shared" si="0"/>
        <v>0</v>
      </c>
    </row>
    <row r="51" spans="1:75" x14ac:dyDescent="0.3">
      <c r="A51" s="5" t="s">
        <v>2235</v>
      </c>
      <c r="B51" s="5" t="s">
        <v>2079</v>
      </c>
      <c r="C51" s="5" t="s">
        <v>1918</v>
      </c>
      <c r="D51" s="5" t="s">
        <v>1918</v>
      </c>
      <c r="E51" s="5" t="s">
        <v>1918</v>
      </c>
      <c r="F51" s="5" t="s">
        <v>2080</v>
      </c>
      <c r="G51" s="5" t="s">
        <v>1918</v>
      </c>
      <c r="H51" s="5" t="s">
        <v>1918</v>
      </c>
      <c r="I51" s="5" t="s">
        <v>736</v>
      </c>
      <c r="J51" s="5" t="s">
        <v>1772</v>
      </c>
      <c r="K51" s="5" t="s">
        <v>1918</v>
      </c>
      <c r="L51" s="5" t="s">
        <v>1918</v>
      </c>
      <c r="M51" s="5" t="s">
        <v>1918</v>
      </c>
      <c r="N51" s="5" t="s">
        <v>1920</v>
      </c>
      <c r="O51" s="5" t="s">
        <v>1918</v>
      </c>
      <c r="P51" s="5" t="s">
        <v>1918</v>
      </c>
      <c r="Q51" s="5" t="s">
        <v>1918</v>
      </c>
      <c r="R51" s="5" t="s">
        <v>1918</v>
      </c>
      <c r="S51" s="5" t="s">
        <v>1918</v>
      </c>
      <c r="T51" s="5" t="s">
        <v>1918</v>
      </c>
      <c r="U51" s="5" t="s">
        <v>1918</v>
      </c>
      <c r="V51" s="5" t="s">
        <v>2081</v>
      </c>
      <c r="W51" s="5" t="s">
        <v>2082</v>
      </c>
      <c r="X51" s="5" t="s">
        <v>1918</v>
      </c>
      <c r="Y51" s="5" t="s">
        <v>2083</v>
      </c>
      <c r="Z51" s="5" t="s">
        <v>2084</v>
      </c>
      <c r="AA51" s="5" t="s">
        <v>1918</v>
      </c>
      <c r="AB51" s="5" t="s">
        <v>1918</v>
      </c>
      <c r="AC51" s="5" t="s">
        <v>1918</v>
      </c>
      <c r="AD51" s="5" t="s">
        <v>1918</v>
      </c>
      <c r="AE51" s="5" t="s">
        <v>1918</v>
      </c>
      <c r="AF51" s="5" t="s">
        <v>1918</v>
      </c>
      <c r="AG51" s="5">
        <v>50</v>
      </c>
      <c r="AH51" s="5">
        <v>1</v>
      </c>
      <c r="AI51" s="5">
        <v>1</v>
      </c>
      <c r="AJ51" s="5" t="s">
        <v>1918</v>
      </c>
      <c r="AK51" s="5" t="s">
        <v>1918</v>
      </c>
      <c r="AL51" s="5" t="s">
        <v>1918</v>
      </c>
      <c r="AM51" s="5" t="s">
        <v>1918</v>
      </c>
      <c r="AN51" s="5" t="s">
        <v>1918</v>
      </c>
      <c r="AO51" s="5" t="s">
        <v>1918</v>
      </c>
      <c r="AP51" s="5" t="s">
        <v>1918</v>
      </c>
      <c r="AQ51" s="5" t="s">
        <v>1918</v>
      </c>
      <c r="AR51" s="5" t="s">
        <v>1918</v>
      </c>
      <c r="AS51" s="5" t="s">
        <v>1918</v>
      </c>
      <c r="AT51" s="5" t="s">
        <v>2085</v>
      </c>
      <c r="AU51" s="5">
        <v>2023</v>
      </c>
      <c r="AV51" s="5">
        <v>53</v>
      </c>
      <c r="AW51" s="5">
        <v>6</v>
      </c>
      <c r="AX51" s="5" t="s">
        <v>1918</v>
      </c>
      <c r="AY51" s="5" t="s">
        <v>1918</v>
      </c>
      <c r="AZ51" s="5" t="s">
        <v>1918</v>
      </c>
      <c r="BA51" s="5" t="s">
        <v>1918</v>
      </c>
      <c r="BB51" s="5">
        <v>635</v>
      </c>
      <c r="BC51" s="5">
        <v>651</v>
      </c>
      <c r="BD51" s="5" t="s">
        <v>1918</v>
      </c>
      <c r="BE51" s="5" t="s">
        <v>1531</v>
      </c>
      <c r="BF51" s="5">
        <v>0</v>
      </c>
      <c r="BG51" s="5" t="s">
        <v>1918</v>
      </c>
      <c r="BH51" s="5" t="s">
        <v>1918</v>
      </c>
      <c r="BI51" s="5" t="s">
        <v>1918</v>
      </c>
      <c r="BJ51" s="5" t="s">
        <v>1918</v>
      </c>
      <c r="BK51" s="5" t="s">
        <v>1918</v>
      </c>
      <c r="BL51" s="5" t="s">
        <v>1918</v>
      </c>
      <c r="BM51" s="5" t="s">
        <v>1918</v>
      </c>
      <c r="BN51" s="5" t="s">
        <v>1918</v>
      </c>
      <c r="BO51" s="5" t="s">
        <v>1918</v>
      </c>
      <c r="BP51" s="5" t="s">
        <v>1918</v>
      </c>
      <c r="BQ51" s="5" t="s">
        <v>1918</v>
      </c>
      <c r="BR51" s="5" t="s">
        <v>1927</v>
      </c>
      <c r="BS51" s="5" t="s">
        <v>2086</v>
      </c>
      <c r="BT51" s="5">
        <v>0</v>
      </c>
      <c r="BU51">
        <f>COUNTIF('오픈소스&amp;직접수집'!F:F,'wos(corecollection)_260528'!BE51)</f>
        <v>1</v>
      </c>
      <c r="BV51">
        <f>COUNTIF('오픈소스&amp;직접수집'!A:A,'wos(corecollection)_260528'!I51)</f>
        <v>1</v>
      </c>
      <c r="BW51">
        <f t="shared" si="0"/>
        <v>2</v>
      </c>
    </row>
    <row r="52" spans="1:75" x14ac:dyDescent="0.3">
      <c r="A52" s="5" t="s">
        <v>2235</v>
      </c>
      <c r="B52" s="5" t="s">
        <v>2065</v>
      </c>
      <c r="C52" s="5" t="s">
        <v>1918</v>
      </c>
      <c r="D52" s="5" t="s">
        <v>1918</v>
      </c>
      <c r="E52" s="5" t="s">
        <v>1918</v>
      </c>
      <c r="F52" s="5" t="s">
        <v>2066</v>
      </c>
      <c r="G52" s="5" t="s">
        <v>1918</v>
      </c>
      <c r="H52" s="5" t="s">
        <v>1918</v>
      </c>
      <c r="I52" s="5" t="s">
        <v>1204</v>
      </c>
      <c r="J52" s="5" t="s">
        <v>1763</v>
      </c>
      <c r="K52" s="5" t="s">
        <v>1918</v>
      </c>
      <c r="L52" s="5" t="s">
        <v>1918</v>
      </c>
      <c r="M52" s="5" t="s">
        <v>1918</v>
      </c>
      <c r="N52" s="5" t="s">
        <v>1920</v>
      </c>
      <c r="O52" s="5" t="s">
        <v>1918</v>
      </c>
      <c r="P52" s="5" t="s">
        <v>1918</v>
      </c>
      <c r="Q52" s="5" t="s">
        <v>1918</v>
      </c>
      <c r="R52" s="5" t="s">
        <v>1918</v>
      </c>
      <c r="S52" s="5" t="s">
        <v>1918</v>
      </c>
      <c r="T52" s="5" t="s">
        <v>1918</v>
      </c>
      <c r="U52" s="5" t="s">
        <v>1918</v>
      </c>
      <c r="V52" s="5" t="s">
        <v>2067</v>
      </c>
      <c r="W52" s="5" t="s">
        <v>2068</v>
      </c>
      <c r="X52" s="5" t="s">
        <v>1918</v>
      </c>
      <c r="Y52" s="5" t="s">
        <v>2069</v>
      </c>
      <c r="Z52" s="5" t="s">
        <v>2070</v>
      </c>
      <c r="AA52" s="5" t="s">
        <v>1918</v>
      </c>
      <c r="AB52" s="5" t="s">
        <v>1918</v>
      </c>
      <c r="AC52" s="5" t="s">
        <v>1918</v>
      </c>
      <c r="AD52" s="5" t="s">
        <v>1918</v>
      </c>
      <c r="AE52" s="5" t="s">
        <v>1918</v>
      </c>
      <c r="AF52" s="5" t="s">
        <v>1918</v>
      </c>
      <c r="AG52" s="5">
        <v>40</v>
      </c>
      <c r="AH52" s="5">
        <v>2</v>
      </c>
      <c r="AI52" s="5">
        <v>4</v>
      </c>
      <c r="AJ52" s="5" t="s">
        <v>1918</v>
      </c>
      <c r="AK52" s="5" t="s">
        <v>1918</v>
      </c>
      <c r="AL52" s="5" t="s">
        <v>1918</v>
      </c>
      <c r="AM52" s="5" t="s">
        <v>1918</v>
      </c>
      <c r="AN52" s="5" t="s">
        <v>1918</v>
      </c>
      <c r="AO52" s="5" t="s">
        <v>1918</v>
      </c>
      <c r="AP52" s="5" t="s">
        <v>1918</v>
      </c>
      <c r="AQ52" s="5" t="s">
        <v>1918</v>
      </c>
      <c r="AR52" s="5" t="s">
        <v>1918</v>
      </c>
      <c r="AS52" s="5" t="s">
        <v>1918</v>
      </c>
      <c r="AT52" s="5" t="s">
        <v>1994</v>
      </c>
      <c r="AU52" s="5">
        <v>2023</v>
      </c>
      <c r="AV52" s="5">
        <v>41</v>
      </c>
      <c r="AW52" s="5">
        <v>10</v>
      </c>
      <c r="AX52" s="5" t="s">
        <v>1918</v>
      </c>
      <c r="AY52" s="5" t="s">
        <v>1918</v>
      </c>
      <c r="AZ52" s="5" t="s">
        <v>1918</v>
      </c>
      <c r="BA52" s="5" t="s">
        <v>1918</v>
      </c>
      <c r="BB52" s="5">
        <v>780</v>
      </c>
      <c r="BC52" s="5">
        <v>788</v>
      </c>
      <c r="BD52" s="5" t="s">
        <v>1918</v>
      </c>
      <c r="BE52" s="5" t="s">
        <v>2071</v>
      </c>
      <c r="BF52" s="5">
        <v>0</v>
      </c>
      <c r="BG52" s="5" t="s">
        <v>1918</v>
      </c>
      <c r="BH52" s="5" t="s">
        <v>1918</v>
      </c>
      <c r="BI52" s="5" t="s">
        <v>1918</v>
      </c>
      <c r="BJ52" s="5" t="s">
        <v>1918</v>
      </c>
      <c r="BK52" s="5" t="s">
        <v>1918</v>
      </c>
      <c r="BL52" s="5" t="s">
        <v>1918</v>
      </c>
      <c r="BM52" s="5" t="s">
        <v>1918</v>
      </c>
      <c r="BN52" s="5" t="s">
        <v>1918</v>
      </c>
      <c r="BO52" s="5" t="s">
        <v>1918</v>
      </c>
      <c r="BP52" s="5" t="s">
        <v>1918</v>
      </c>
      <c r="BQ52" s="5" t="s">
        <v>1918</v>
      </c>
      <c r="BR52" s="5" t="s">
        <v>1927</v>
      </c>
      <c r="BS52" s="5" t="s">
        <v>2072</v>
      </c>
      <c r="BT52" s="5">
        <v>0</v>
      </c>
      <c r="BU52">
        <f>COUNTIF('오픈소스&amp;직접수집'!F:F,'wos(corecollection)_260528'!BE52)</f>
        <v>1</v>
      </c>
      <c r="BV52">
        <f>COUNTIF('오픈소스&amp;직접수집'!A:A,'wos(corecollection)_260528'!I52)</f>
        <v>1</v>
      </c>
      <c r="BW52">
        <f t="shared" si="0"/>
        <v>2</v>
      </c>
    </row>
    <row r="53" spans="1:75" x14ac:dyDescent="0.3">
      <c r="A53" s="5" t="s">
        <v>2235</v>
      </c>
      <c r="B53" s="5" t="s">
        <v>2315</v>
      </c>
      <c r="C53" s="5" t="s">
        <v>1918</v>
      </c>
      <c r="D53" s="5" t="s">
        <v>1918</v>
      </c>
      <c r="E53" s="5" t="s">
        <v>1918</v>
      </c>
      <c r="F53" s="5" t="s">
        <v>2316</v>
      </c>
      <c r="G53" s="5" t="s">
        <v>1918</v>
      </c>
      <c r="H53" s="5" t="s">
        <v>1918</v>
      </c>
      <c r="I53" s="5" t="s">
        <v>2317</v>
      </c>
      <c r="J53" s="5" t="s">
        <v>2318</v>
      </c>
      <c r="K53" s="5" t="s">
        <v>1918</v>
      </c>
      <c r="L53" s="5" t="s">
        <v>1918</v>
      </c>
      <c r="M53" s="5" t="s">
        <v>1918</v>
      </c>
      <c r="N53" s="5" t="s">
        <v>1920</v>
      </c>
      <c r="O53" s="5" t="s">
        <v>1918</v>
      </c>
      <c r="P53" s="5" t="s">
        <v>1918</v>
      </c>
      <c r="Q53" s="5" t="s">
        <v>1918</v>
      </c>
      <c r="R53" s="5" t="s">
        <v>1918</v>
      </c>
      <c r="S53" s="5" t="s">
        <v>1918</v>
      </c>
      <c r="T53" s="5" t="s">
        <v>1918</v>
      </c>
      <c r="U53" s="5" t="s">
        <v>1918</v>
      </c>
      <c r="V53" s="5" t="s">
        <v>2319</v>
      </c>
      <c r="W53" s="5" t="s">
        <v>2320</v>
      </c>
      <c r="X53" s="5" t="s">
        <v>1918</v>
      </c>
      <c r="Y53" s="5" t="s">
        <v>2321</v>
      </c>
      <c r="Z53" s="5" t="s">
        <v>2322</v>
      </c>
      <c r="AA53" s="5" t="s">
        <v>1918</v>
      </c>
      <c r="AB53" s="5" t="s">
        <v>1918</v>
      </c>
      <c r="AC53" s="5" t="s">
        <v>1918</v>
      </c>
      <c r="AD53" s="5" t="s">
        <v>1918</v>
      </c>
      <c r="AE53" s="5" t="s">
        <v>1918</v>
      </c>
      <c r="AF53" s="5" t="s">
        <v>1918</v>
      </c>
      <c r="AG53" s="5">
        <v>73</v>
      </c>
      <c r="AH53" s="5">
        <v>10</v>
      </c>
      <c r="AI53" s="5">
        <v>16</v>
      </c>
      <c r="AJ53" s="5" t="s">
        <v>1918</v>
      </c>
      <c r="AK53" s="5" t="s">
        <v>1918</v>
      </c>
      <c r="AL53" s="5" t="s">
        <v>1918</v>
      </c>
      <c r="AM53" s="5" t="s">
        <v>1918</v>
      </c>
      <c r="AN53" s="5" t="s">
        <v>1918</v>
      </c>
      <c r="AO53" s="5" t="s">
        <v>1918</v>
      </c>
      <c r="AP53" s="5" t="s">
        <v>1918</v>
      </c>
      <c r="AQ53" s="5" t="s">
        <v>1918</v>
      </c>
      <c r="AR53" s="5" t="s">
        <v>1918</v>
      </c>
      <c r="AS53" s="5" t="s">
        <v>1918</v>
      </c>
      <c r="AT53" s="5" t="s">
        <v>2323</v>
      </c>
      <c r="AU53" s="5">
        <v>2023</v>
      </c>
      <c r="AV53" s="5">
        <v>71</v>
      </c>
      <c r="AW53" s="5" t="s">
        <v>1918</v>
      </c>
      <c r="AX53" s="5" t="s">
        <v>1918</v>
      </c>
      <c r="AY53" s="5" t="s">
        <v>1918</v>
      </c>
      <c r="AZ53" s="5" t="s">
        <v>1918</v>
      </c>
      <c r="BA53" s="5" t="s">
        <v>1918</v>
      </c>
      <c r="BB53" s="5" t="s">
        <v>1918</v>
      </c>
      <c r="BC53" s="5" t="s">
        <v>1918</v>
      </c>
      <c r="BD53" s="5">
        <v>108192</v>
      </c>
      <c r="BE53" s="5" t="s">
        <v>2324</v>
      </c>
      <c r="BF53" s="5">
        <v>0</v>
      </c>
      <c r="BG53" s="5" t="s">
        <v>1918</v>
      </c>
      <c r="BH53" s="5" t="s">
        <v>2325</v>
      </c>
      <c r="BI53" s="5" t="s">
        <v>1918</v>
      </c>
      <c r="BJ53" s="5" t="s">
        <v>1918</v>
      </c>
      <c r="BK53" s="5" t="s">
        <v>1918</v>
      </c>
      <c r="BL53" s="5" t="s">
        <v>1918</v>
      </c>
      <c r="BM53" s="5" t="s">
        <v>1918</v>
      </c>
      <c r="BN53" s="5" t="s">
        <v>1918</v>
      </c>
      <c r="BO53" s="5" t="s">
        <v>1918</v>
      </c>
      <c r="BP53" s="5" t="s">
        <v>1918</v>
      </c>
      <c r="BQ53" s="5" t="s">
        <v>1918</v>
      </c>
      <c r="BR53" s="5" t="s">
        <v>1927</v>
      </c>
      <c r="BS53" s="5" t="s">
        <v>2326</v>
      </c>
      <c r="BT53" s="5">
        <v>0</v>
      </c>
      <c r="BU53">
        <f>COUNTIF('오픈소스&amp;직접수집'!F:F,'wos(corecollection)_260528'!BE53)</f>
        <v>0</v>
      </c>
      <c r="BV53">
        <f>COUNTIF('오픈소스&amp;직접수집'!A:A,'wos(corecollection)_260528'!I53)</f>
        <v>0</v>
      </c>
      <c r="BW53">
        <f t="shared" si="0"/>
        <v>0</v>
      </c>
    </row>
    <row r="54" spans="1:75" x14ac:dyDescent="0.3">
      <c r="A54" s="5" t="s">
        <v>2235</v>
      </c>
      <c r="B54" s="5" t="s">
        <v>2327</v>
      </c>
      <c r="C54" s="5" t="s">
        <v>1918</v>
      </c>
      <c r="D54" s="5" t="s">
        <v>1918</v>
      </c>
      <c r="E54" s="5" t="s">
        <v>1918</v>
      </c>
      <c r="F54" s="5" t="s">
        <v>2328</v>
      </c>
      <c r="G54" s="5" t="s">
        <v>1918</v>
      </c>
      <c r="H54" s="5" t="s">
        <v>1918</v>
      </c>
      <c r="I54" s="5" t="s">
        <v>2329</v>
      </c>
      <c r="J54" s="5" t="s">
        <v>2330</v>
      </c>
      <c r="K54" s="5" t="s">
        <v>1918</v>
      </c>
      <c r="L54" s="5" t="s">
        <v>1918</v>
      </c>
      <c r="M54" s="5" t="s">
        <v>1918</v>
      </c>
      <c r="N54" s="5" t="s">
        <v>1920</v>
      </c>
      <c r="O54" s="5" t="s">
        <v>1918</v>
      </c>
      <c r="P54" s="5" t="s">
        <v>1918</v>
      </c>
      <c r="Q54" s="5" t="s">
        <v>1918</v>
      </c>
      <c r="R54" s="5" t="s">
        <v>1918</v>
      </c>
      <c r="S54" s="5" t="s">
        <v>1918</v>
      </c>
      <c r="T54" s="5" t="s">
        <v>1918</v>
      </c>
      <c r="U54" s="5" t="s">
        <v>1918</v>
      </c>
      <c r="V54" s="5" t="s">
        <v>2331</v>
      </c>
      <c r="W54" s="5" t="s">
        <v>2332</v>
      </c>
      <c r="X54" s="5" t="s">
        <v>1918</v>
      </c>
      <c r="Y54" s="5" t="s">
        <v>2333</v>
      </c>
      <c r="Z54" s="5" t="s">
        <v>2334</v>
      </c>
      <c r="AA54" s="5" t="s">
        <v>1918</v>
      </c>
      <c r="AB54" s="5" t="s">
        <v>1918</v>
      </c>
      <c r="AC54" s="5" t="s">
        <v>1918</v>
      </c>
      <c r="AD54" s="5" t="s">
        <v>1918</v>
      </c>
      <c r="AE54" s="5" t="s">
        <v>1918</v>
      </c>
      <c r="AF54" s="5" t="s">
        <v>1918</v>
      </c>
      <c r="AG54" s="5">
        <v>25</v>
      </c>
      <c r="AH54" s="5">
        <v>3</v>
      </c>
      <c r="AI54" s="5">
        <v>4</v>
      </c>
      <c r="AJ54" s="5" t="s">
        <v>1918</v>
      </c>
      <c r="AK54" s="5" t="s">
        <v>1918</v>
      </c>
      <c r="AL54" s="5" t="s">
        <v>1918</v>
      </c>
      <c r="AM54" s="5" t="s">
        <v>1918</v>
      </c>
      <c r="AN54" s="5" t="s">
        <v>1918</v>
      </c>
      <c r="AO54" s="5" t="s">
        <v>1918</v>
      </c>
      <c r="AP54" s="5" t="s">
        <v>1918</v>
      </c>
      <c r="AQ54" s="5" t="s">
        <v>1918</v>
      </c>
      <c r="AR54" s="5" t="s">
        <v>1918</v>
      </c>
      <c r="AS54" s="5" t="s">
        <v>1918</v>
      </c>
      <c r="AT54" s="5" t="s">
        <v>2122</v>
      </c>
      <c r="AU54" s="5">
        <v>2023</v>
      </c>
      <c r="AV54" s="5">
        <v>8</v>
      </c>
      <c r="AW54" s="5">
        <v>4</v>
      </c>
      <c r="AX54" s="5" t="s">
        <v>1918</v>
      </c>
      <c r="AY54" s="5" t="s">
        <v>1918</v>
      </c>
      <c r="AZ54" s="5" t="s">
        <v>1918</v>
      </c>
      <c r="BA54" s="5" t="s">
        <v>1918</v>
      </c>
      <c r="BB54" s="5" t="s">
        <v>1918</v>
      </c>
      <c r="BC54" s="5" t="s">
        <v>1918</v>
      </c>
      <c r="BD54" s="5">
        <v>73</v>
      </c>
      <c r="BE54" s="5" t="s">
        <v>2335</v>
      </c>
      <c r="BF54" s="5">
        <v>0</v>
      </c>
      <c r="BG54" s="5" t="s">
        <v>1918</v>
      </c>
      <c r="BH54" s="5" t="s">
        <v>1918</v>
      </c>
      <c r="BI54" s="5" t="s">
        <v>1918</v>
      </c>
      <c r="BJ54" s="5" t="s">
        <v>1918</v>
      </c>
      <c r="BK54" s="5" t="s">
        <v>1918</v>
      </c>
      <c r="BL54" s="5" t="s">
        <v>1918</v>
      </c>
      <c r="BM54" s="5" t="s">
        <v>1918</v>
      </c>
      <c r="BN54" s="5" t="s">
        <v>1918</v>
      </c>
      <c r="BO54" s="5" t="s">
        <v>1918</v>
      </c>
      <c r="BP54" s="5" t="s">
        <v>1918</v>
      </c>
      <c r="BQ54" s="5" t="s">
        <v>1918</v>
      </c>
      <c r="BR54" s="5" t="s">
        <v>1927</v>
      </c>
      <c r="BS54" s="5" t="s">
        <v>2336</v>
      </c>
      <c r="BT54" s="5">
        <v>0</v>
      </c>
      <c r="BU54">
        <f>COUNTIF('오픈소스&amp;직접수집'!F:F,'wos(corecollection)_260528'!BE54)</f>
        <v>0</v>
      </c>
      <c r="BV54">
        <f>COUNTIF('오픈소스&amp;직접수집'!A:A,'wos(corecollection)_260528'!I54)</f>
        <v>0</v>
      </c>
      <c r="BW54">
        <f t="shared" si="0"/>
        <v>0</v>
      </c>
    </row>
    <row r="55" spans="1:75" x14ac:dyDescent="0.3">
      <c r="A55" s="5" t="s">
        <v>2235</v>
      </c>
      <c r="B55" s="5" t="s">
        <v>2337</v>
      </c>
      <c r="C55" s="5" t="s">
        <v>1918</v>
      </c>
      <c r="D55" s="5" t="s">
        <v>1918</v>
      </c>
      <c r="E55" s="5" t="s">
        <v>1918</v>
      </c>
      <c r="F55" s="5" t="s">
        <v>2338</v>
      </c>
      <c r="G55" s="5" t="s">
        <v>1918</v>
      </c>
      <c r="H55" s="5" t="s">
        <v>1918</v>
      </c>
      <c r="I55" s="5" t="s">
        <v>2339</v>
      </c>
      <c r="J55" s="5" t="s">
        <v>2340</v>
      </c>
      <c r="K55" s="5" t="s">
        <v>1918</v>
      </c>
      <c r="L55" s="5" t="s">
        <v>1918</v>
      </c>
      <c r="M55" s="5" t="s">
        <v>1918</v>
      </c>
      <c r="N55" s="5" t="s">
        <v>1920</v>
      </c>
      <c r="O55" s="5" t="s">
        <v>1918</v>
      </c>
      <c r="P55" s="5" t="s">
        <v>1918</v>
      </c>
      <c r="Q55" s="5" t="s">
        <v>1918</v>
      </c>
      <c r="R55" s="5" t="s">
        <v>1918</v>
      </c>
      <c r="S55" s="5" t="s">
        <v>1918</v>
      </c>
      <c r="T55" s="5" t="s">
        <v>1918</v>
      </c>
      <c r="U55" s="5" t="s">
        <v>1918</v>
      </c>
      <c r="V55" s="5" t="s">
        <v>2341</v>
      </c>
      <c r="W55" s="5" t="s">
        <v>2342</v>
      </c>
      <c r="X55" s="5" t="s">
        <v>1918</v>
      </c>
      <c r="Y55" s="5" t="s">
        <v>2343</v>
      </c>
      <c r="Z55" s="5" t="s">
        <v>2344</v>
      </c>
      <c r="AA55" s="5" t="s">
        <v>1918</v>
      </c>
      <c r="AB55" s="5" t="s">
        <v>1918</v>
      </c>
      <c r="AC55" s="5" t="s">
        <v>1918</v>
      </c>
      <c r="AD55" s="5" t="s">
        <v>1918</v>
      </c>
      <c r="AE55" s="5" t="s">
        <v>1918</v>
      </c>
      <c r="AF55" s="5" t="s">
        <v>1918</v>
      </c>
      <c r="AG55" s="5">
        <v>43</v>
      </c>
      <c r="AH55" s="5">
        <v>2</v>
      </c>
      <c r="AI55" s="5">
        <v>2</v>
      </c>
      <c r="AJ55" s="5" t="s">
        <v>1918</v>
      </c>
      <c r="AK55" s="5" t="s">
        <v>1918</v>
      </c>
      <c r="AL55" s="5" t="s">
        <v>1918</v>
      </c>
      <c r="AM55" s="5" t="s">
        <v>1918</v>
      </c>
      <c r="AN55" s="5" t="s">
        <v>1918</v>
      </c>
      <c r="AO55" s="5" t="s">
        <v>1918</v>
      </c>
      <c r="AP55" s="5" t="s">
        <v>1918</v>
      </c>
      <c r="AQ55" s="5" t="s">
        <v>1918</v>
      </c>
      <c r="AR55" s="5" t="s">
        <v>1918</v>
      </c>
      <c r="AS55" s="5" t="s">
        <v>1918</v>
      </c>
      <c r="AT55" s="5" t="s">
        <v>1924</v>
      </c>
      <c r="AU55" s="5">
        <v>2023</v>
      </c>
      <c r="AV55" s="5">
        <v>29</v>
      </c>
      <c r="AW55" s="5">
        <v>1</v>
      </c>
      <c r="AX55" s="5" t="s">
        <v>1918</v>
      </c>
      <c r="AY55" s="5" t="s">
        <v>1918</v>
      </c>
      <c r="AZ55" s="5" t="s">
        <v>1918</v>
      </c>
      <c r="BA55" s="5" t="s">
        <v>1918</v>
      </c>
      <c r="BB55" s="5">
        <v>20</v>
      </c>
      <c r="BC55" s="5">
        <v>31</v>
      </c>
      <c r="BD55" s="5" t="s">
        <v>1918</v>
      </c>
      <c r="BE55" s="5" t="s">
        <v>2345</v>
      </c>
      <c r="BF55" s="5">
        <v>0</v>
      </c>
      <c r="BG55" s="5" t="s">
        <v>1918</v>
      </c>
      <c r="BH55" s="5" t="s">
        <v>1918</v>
      </c>
      <c r="BI55" s="5" t="s">
        <v>1918</v>
      </c>
      <c r="BJ55" s="5" t="s">
        <v>1918</v>
      </c>
      <c r="BK55" s="5" t="s">
        <v>1918</v>
      </c>
      <c r="BL55" s="5" t="s">
        <v>1918</v>
      </c>
      <c r="BM55" s="5" t="s">
        <v>1918</v>
      </c>
      <c r="BN55" s="5" t="s">
        <v>1918</v>
      </c>
      <c r="BO55" s="5" t="s">
        <v>1918</v>
      </c>
      <c r="BP55" s="5" t="s">
        <v>1918</v>
      </c>
      <c r="BQ55" s="5" t="s">
        <v>1918</v>
      </c>
      <c r="BR55" s="5" t="s">
        <v>1927</v>
      </c>
      <c r="BS55" s="5" t="s">
        <v>2346</v>
      </c>
      <c r="BT55" s="5">
        <v>0</v>
      </c>
      <c r="BU55">
        <f>COUNTIF('오픈소스&amp;직접수집'!F:F,'wos(corecollection)_260528'!BE55)</f>
        <v>0</v>
      </c>
      <c r="BV55">
        <f>COUNTIF('오픈소스&amp;직접수집'!A:A,'wos(corecollection)_260528'!I55)</f>
        <v>0</v>
      </c>
      <c r="BW55">
        <f t="shared" si="0"/>
        <v>0</v>
      </c>
    </row>
    <row r="56" spans="1:75" x14ac:dyDescent="0.3">
      <c r="A56" s="5" t="s">
        <v>2235</v>
      </c>
      <c r="B56" s="5" t="s">
        <v>1738</v>
      </c>
      <c r="C56" s="5" t="s">
        <v>1918</v>
      </c>
      <c r="D56" s="5" t="s">
        <v>1918</v>
      </c>
      <c r="E56" s="5" t="s">
        <v>1918</v>
      </c>
      <c r="F56" s="5" t="s">
        <v>2073</v>
      </c>
      <c r="G56" s="5" t="s">
        <v>1918</v>
      </c>
      <c r="H56" s="5" t="s">
        <v>1918</v>
      </c>
      <c r="I56" s="5" t="s">
        <v>1686</v>
      </c>
      <c r="J56" s="5" t="s">
        <v>1772</v>
      </c>
      <c r="K56" s="5" t="s">
        <v>1918</v>
      </c>
      <c r="L56" s="5" t="s">
        <v>1918</v>
      </c>
      <c r="M56" s="5" t="s">
        <v>1918</v>
      </c>
      <c r="N56" s="5" t="s">
        <v>1920</v>
      </c>
      <c r="O56" s="5" t="s">
        <v>1918</v>
      </c>
      <c r="P56" s="5" t="s">
        <v>1918</v>
      </c>
      <c r="Q56" s="5" t="s">
        <v>1918</v>
      </c>
      <c r="R56" s="5" t="s">
        <v>1918</v>
      </c>
      <c r="S56" s="5" t="s">
        <v>1918</v>
      </c>
      <c r="T56" s="5" t="s">
        <v>1918</v>
      </c>
      <c r="U56" s="5" t="s">
        <v>1918</v>
      </c>
      <c r="V56" s="5" t="s">
        <v>1717</v>
      </c>
      <c r="W56" s="5" t="s">
        <v>2074</v>
      </c>
      <c r="X56" s="5" t="s">
        <v>1918</v>
      </c>
      <c r="Y56" s="5" t="s">
        <v>2075</v>
      </c>
      <c r="Z56" s="5" t="s">
        <v>2076</v>
      </c>
      <c r="AA56" s="5" t="s">
        <v>1918</v>
      </c>
      <c r="AB56" s="5" t="s">
        <v>1918</v>
      </c>
      <c r="AC56" s="5" t="s">
        <v>1918</v>
      </c>
      <c r="AD56" s="5" t="s">
        <v>1918</v>
      </c>
      <c r="AE56" s="5" t="s">
        <v>1918</v>
      </c>
      <c r="AF56" s="5" t="s">
        <v>1918</v>
      </c>
      <c r="AG56" s="5">
        <v>50</v>
      </c>
      <c r="AH56" s="5">
        <v>2</v>
      </c>
      <c r="AI56" s="5">
        <v>3</v>
      </c>
      <c r="AJ56" s="5" t="s">
        <v>1918</v>
      </c>
      <c r="AK56" s="5" t="s">
        <v>1918</v>
      </c>
      <c r="AL56" s="5" t="s">
        <v>1918</v>
      </c>
      <c r="AM56" s="5" t="s">
        <v>1918</v>
      </c>
      <c r="AN56" s="5" t="s">
        <v>1918</v>
      </c>
      <c r="AO56" s="5" t="s">
        <v>1918</v>
      </c>
      <c r="AP56" s="5" t="s">
        <v>1918</v>
      </c>
      <c r="AQ56" s="5" t="s">
        <v>1918</v>
      </c>
      <c r="AR56" s="5" t="s">
        <v>1918</v>
      </c>
      <c r="AS56" s="5" t="s">
        <v>1918</v>
      </c>
      <c r="AT56" s="5" t="s">
        <v>2077</v>
      </c>
      <c r="AU56" s="5">
        <v>2023</v>
      </c>
      <c r="AV56" s="5">
        <v>53</v>
      </c>
      <c r="AW56" s="5">
        <v>1</v>
      </c>
      <c r="AX56" s="5" t="s">
        <v>1918</v>
      </c>
      <c r="AY56" s="5" t="s">
        <v>1918</v>
      </c>
      <c r="AZ56" s="5" t="s">
        <v>1918</v>
      </c>
      <c r="BA56" s="5" t="s">
        <v>1918</v>
      </c>
      <c r="BB56" s="5" t="s">
        <v>1918</v>
      </c>
      <c r="BC56" s="5" t="s">
        <v>1918</v>
      </c>
      <c r="BD56" s="5">
        <v>55</v>
      </c>
      <c r="BE56" s="5" t="s">
        <v>1523</v>
      </c>
      <c r="BF56" s="5">
        <v>0</v>
      </c>
      <c r="BG56" s="5" t="s">
        <v>1918</v>
      </c>
      <c r="BH56" s="5" t="s">
        <v>1918</v>
      </c>
      <c r="BI56" s="5" t="s">
        <v>1918</v>
      </c>
      <c r="BJ56" s="5" t="s">
        <v>1918</v>
      </c>
      <c r="BK56" s="5" t="s">
        <v>1918</v>
      </c>
      <c r="BL56" s="5" t="s">
        <v>1918</v>
      </c>
      <c r="BM56" s="5" t="s">
        <v>1918</v>
      </c>
      <c r="BN56" s="5" t="s">
        <v>1918</v>
      </c>
      <c r="BO56" s="5" t="s">
        <v>1918</v>
      </c>
      <c r="BP56" s="5" t="s">
        <v>1918</v>
      </c>
      <c r="BQ56" s="5" t="s">
        <v>1918</v>
      </c>
      <c r="BR56" s="5" t="s">
        <v>1927</v>
      </c>
      <c r="BS56" s="5" t="s">
        <v>2078</v>
      </c>
      <c r="BT56" s="5">
        <v>0</v>
      </c>
      <c r="BU56">
        <f>COUNTIF('오픈소스&amp;직접수집'!F:F,'wos(corecollection)_260528'!BE56)</f>
        <v>1</v>
      </c>
      <c r="BV56">
        <f>COUNTIF('오픈소스&amp;직접수집'!A:A,'wos(corecollection)_260528'!I56)</f>
        <v>1</v>
      </c>
      <c r="BW56">
        <f t="shared" si="0"/>
        <v>2</v>
      </c>
    </row>
    <row r="57" spans="1:75" x14ac:dyDescent="0.3">
      <c r="A57" s="5" t="s">
        <v>2235</v>
      </c>
      <c r="B57" s="5" t="s">
        <v>2272</v>
      </c>
      <c r="C57" s="5" t="s">
        <v>1918</v>
      </c>
      <c r="D57" s="5" t="s">
        <v>1918</v>
      </c>
      <c r="E57" s="5" t="s">
        <v>1918</v>
      </c>
      <c r="F57" s="5" t="s">
        <v>2273</v>
      </c>
      <c r="G57" s="5" t="s">
        <v>1918</v>
      </c>
      <c r="H57" s="5" t="s">
        <v>1918</v>
      </c>
      <c r="I57" s="5" t="s">
        <v>2347</v>
      </c>
      <c r="J57" s="5" t="s">
        <v>2348</v>
      </c>
      <c r="K57" s="5" t="s">
        <v>1918</v>
      </c>
      <c r="L57" s="5" t="s">
        <v>1918</v>
      </c>
      <c r="M57" s="5" t="s">
        <v>1918</v>
      </c>
      <c r="N57" s="5" t="s">
        <v>1920</v>
      </c>
      <c r="O57" s="5" t="s">
        <v>1918</v>
      </c>
      <c r="P57" s="5" t="s">
        <v>1918</v>
      </c>
      <c r="Q57" s="5" t="s">
        <v>1918</v>
      </c>
      <c r="R57" s="5" t="s">
        <v>1918</v>
      </c>
      <c r="S57" s="5" t="s">
        <v>1918</v>
      </c>
      <c r="T57" s="5" t="s">
        <v>1918</v>
      </c>
      <c r="U57" s="5" t="s">
        <v>1918</v>
      </c>
      <c r="V57" s="5" t="s">
        <v>2349</v>
      </c>
      <c r="W57" s="5" t="s">
        <v>2350</v>
      </c>
      <c r="X57" s="5" t="s">
        <v>1918</v>
      </c>
      <c r="Y57" s="5" t="s">
        <v>2351</v>
      </c>
      <c r="Z57" s="5" t="s">
        <v>2278</v>
      </c>
      <c r="AA57" s="5" t="s">
        <v>1918</v>
      </c>
      <c r="AB57" s="5" t="s">
        <v>1918</v>
      </c>
      <c r="AC57" s="5" t="s">
        <v>1918</v>
      </c>
      <c r="AD57" s="5" t="s">
        <v>1918</v>
      </c>
      <c r="AE57" s="5" t="s">
        <v>1918</v>
      </c>
      <c r="AF57" s="5" t="s">
        <v>1918</v>
      </c>
      <c r="AG57" s="5">
        <v>96</v>
      </c>
      <c r="AH57" s="5">
        <v>0</v>
      </c>
      <c r="AI57" s="5">
        <v>0</v>
      </c>
      <c r="AJ57" s="5" t="s">
        <v>1918</v>
      </c>
      <c r="AK57" s="5" t="s">
        <v>1918</v>
      </c>
      <c r="AL57" s="5" t="s">
        <v>1918</v>
      </c>
      <c r="AM57" s="5" t="s">
        <v>1918</v>
      </c>
      <c r="AN57" s="5" t="s">
        <v>1918</v>
      </c>
      <c r="AO57" s="5" t="s">
        <v>1918</v>
      </c>
      <c r="AP57" s="5" t="s">
        <v>1918</v>
      </c>
      <c r="AQ57" s="5" t="s">
        <v>1918</v>
      </c>
      <c r="AR57" s="5" t="s">
        <v>1918</v>
      </c>
      <c r="AS57" s="5" t="s">
        <v>1918</v>
      </c>
      <c r="AT57" s="5" t="s">
        <v>2352</v>
      </c>
      <c r="AU57" s="5">
        <v>2023</v>
      </c>
      <c r="AV57" s="5">
        <v>13</v>
      </c>
      <c r="AW57" s="5">
        <v>1</v>
      </c>
      <c r="AX57" s="5" t="s">
        <v>1918</v>
      </c>
      <c r="AY57" s="5" t="s">
        <v>1918</v>
      </c>
      <c r="AZ57" s="5" t="s">
        <v>1918</v>
      </c>
      <c r="BA57" s="5" t="s">
        <v>1918</v>
      </c>
      <c r="BB57" s="5" t="s">
        <v>1918</v>
      </c>
      <c r="BC57" s="5" t="s">
        <v>1918</v>
      </c>
      <c r="BD57" s="5">
        <v>26</v>
      </c>
      <c r="BE57" s="5" t="s">
        <v>2353</v>
      </c>
      <c r="BF57" s="5">
        <v>0</v>
      </c>
      <c r="BG57" s="5" t="s">
        <v>1918</v>
      </c>
      <c r="BH57" s="5" t="s">
        <v>1918</v>
      </c>
      <c r="BI57" s="5" t="s">
        <v>1918</v>
      </c>
      <c r="BJ57" s="5" t="s">
        <v>1918</v>
      </c>
      <c r="BK57" s="5" t="s">
        <v>1918</v>
      </c>
      <c r="BL57" s="5" t="s">
        <v>1918</v>
      </c>
      <c r="BM57" s="5" t="s">
        <v>1918</v>
      </c>
      <c r="BN57" s="5" t="s">
        <v>1918</v>
      </c>
      <c r="BO57" s="5" t="s">
        <v>1918</v>
      </c>
      <c r="BP57" s="5" t="s">
        <v>1918</v>
      </c>
      <c r="BQ57" s="5" t="s">
        <v>1918</v>
      </c>
      <c r="BR57" s="5" t="s">
        <v>1927</v>
      </c>
      <c r="BS57" s="5" t="s">
        <v>2354</v>
      </c>
      <c r="BT57" s="5">
        <v>0</v>
      </c>
      <c r="BU57">
        <f>COUNTIF('오픈소스&amp;직접수집'!F:F,'wos(corecollection)_260528'!BE57)</f>
        <v>0</v>
      </c>
      <c r="BV57">
        <f>COUNTIF('오픈소스&amp;직접수집'!A:A,'wos(corecollection)_260528'!I57)</f>
        <v>0</v>
      </c>
      <c r="BW57">
        <f t="shared" si="0"/>
        <v>0</v>
      </c>
    </row>
    <row r="58" spans="1:75" x14ac:dyDescent="0.3">
      <c r="A58" s="5" t="s">
        <v>2235</v>
      </c>
      <c r="B58" s="5" t="s">
        <v>2272</v>
      </c>
      <c r="C58" s="5" t="s">
        <v>1918</v>
      </c>
      <c r="D58" s="5" t="s">
        <v>1918</v>
      </c>
      <c r="E58" s="5" t="s">
        <v>1918</v>
      </c>
      <c r="F58" s="5" t="s">
        <v>2273</v>
      </c>
      <c r="G58" s="5" t="s">
        <v>1918</v>
      </c>
      <c r="H58" s="5" t="s">
        <v>1918</v>
      </c>
      <c r="I58" s="5" t="s">
        <v>2355</v>
      </c>
      <c r="J58" s="5" t="s">
        <v>1942</v>
      </c>
      <c r="K58" s="5" t="s">
        <v>1918</v>
      </c>
      <c r="L58" s="5" t="s">
        <v>1918</v>
      </c>
      <c r="M58" s="5" t="s">
        <v>1918</v>
      </c>
      <c r="N58" s="5" t="s">
        <v>1920</v>
      </c>
      <c r="O58" s="5" t="s">
        <v>1918</v>
      </c>
      <c r="P58" s="5" t="s">
        <v>1918</v>
      </c>
      <c r="Q58" s="5" t="s">
        <v>1918</v>
      </c>
      <c r="R58" s="5" t="s">
        <v>1918</v>
      </c>
      <c r="S58" s="5" t="s">
        <v>1918</v>
      </c>
      <c r="T58" s="5" t="s">
        <v>1918</v>
      </c>
      <c r="U58" s="5" t="s">
        <v>1918</v>
      </c>
      <c r="V58" s="5" t="s">
        <v>2356</v>
      </c>
      <c r="W58" s="5" t="s">
        <v>2357</v>
      </c>
      <c r="X58" s="5" t="s">
        <v>1918</v>
      </c>
      <c r="Y58" s="5" t="s">
        <v>2358</v>
      </c>
      <c r="Z58" s="5" t="s">
        <v>2278</v>
      </c>
      <c r="AA58" s="5" t="s">
        <v>1918</v>
      </c>
      <c r="AB58" s="5" t="s">
        <v>1918</v>
      </c>
      <c r="AC58" s="5" t="s">
        <v>1918</v>
      </c>
      <c r="AD58" s="5" t="s">
        <v>1918</v>
      </c>
      <c r="AE58" s="5" t="s">
        <v>1918</v>
      </c>
      <c r="AF58" s="5" t="s">
        <v>1918</v>
      </c>
      <c r="AG58" s="5">
        <v>110</v>
      </c>
      <c r="AH58" s="5">
        <v>6</v>
      </c>
      <c r="AI58" s="5">
        <v>6</v>
      </c>
      <c r="AJ58" s="5" t="s">
        <v>1918</v>
      </c>
      <c r="AK58" s="5" t="s">
        <v>1918</v>
      </c>
      <c r="AL58" s="5" t="s">
        <v>1918</v>
      </c>
      <c r="AM58" s="5" t="s">
        <v>1918</v>
      </c>
      <c r="AN58" s="5" t="s">
        <v>1918</v>
      </c>
      <c r="AO58" s="5" t="s">
        <v>1918</v>
      </c>
      <c r="AP58" s="5" t="s">
        <v>1918</v>
      </c>
      <c r="AQ58" s="5" t="s">
        <v>1918</v>
      </c>
      <c r="AR58" s="5" t="s">
        <v>1918</v>
      </c>
      <c r="AS58" s="5" t="s">
        <v>1918</v>
      </c>
      <c r="AT58" s="5" t="s">
        <v>2323</v>
      </c>
      <c r="AU58" s="5">
        <v>2022</v>
      </c>
      <c r="AV58" s="5">
        <v>17</v>
      </c>
      <c r="AW58" s="5">
        <v>11</v>
      </c>
      <c r="AX58" s="5" t="s">
        <v>1918</v>
      </c>
      <c r="AY58" s="5" t="s">
        <v>1918</v>
      </c>
      <c r="AZ58" s="5" t="s">
        <v>1918</v>
      </c>
      <c r="BA58" s="5" t="s">
        <v>1918</v>
      </c>
      <c r="BB58" s="5" t="s">
        <v>1918</v>
      </c>
      <c r="BC58" s="5" t="s">
        <v>1918</v>
      </c>
      <c r="BD58" s="5" t="s">
        <v>2359</v>
      </c>
      <c r="BE58" s="5" t="s">
        <v>2360</v>
      </c>
      <c r="BF58" s="5">
        <v>0</v>
      </c>
      <c r="BG58" s="5" t="s">
        <v>1918</v>
      </c>
      <c r="BH58" s="5" t="s">
        <v>1918</v>
      </c>
      <c r="BI58" s="5" t="s">
        <v>1918</v>
      </c>
      <c r="BJ58" s="5" t="s">
        <v>1918</v>
      </c>
      <c r="BK58" s="5" t="s">
        <v>1918</v>
      </c>
      <c r="BL58" s="5" t="s">
        <v>1918</v>
      </c>
      <c r="BM58" s="5" t="s">
        <v>1918</v>
      </c>
      <c r="BN58" s="5" t="s">
        <v>1918</v>
      </c>
      <c r="BO58" s="5" t="s">
        <v>1918</v>
      </c>
      <c r="BP58" s="5" t="s">
        <v>1918</v>
      </c>
      <c r="BQ58" s="5" t="s">
        <v>1918</v>
      </c>
      <c r="BR58" s="5" t="s">
        <v>1927</v>
      </c>
      <c r="BS58" s="5" t="s">
        <v>2361</v>
      </c>
      <c r="BT58" s="5">
        <v>0</v>
      </c>
      <c r="BU58">
        <f>COUNTIF('오픈소스&amp;직접수집'!F:F,'wos(corecollection)_260528'!BE58)</f>
        <v>0</v>
      </c>
      <c r="BV58">
        <f>COUNTIF('오픈소스&amp;직접수집'!A:A,'wos(corecollection)_260528'!I58)</f>
        <v>0</v>
      </c>
      <c r="BW58">
        <f t="shared" si="0"/>
        <v>0</v>
      </c>
    </row>
    <row r="59" spans="1:75" x14ac:dyDescent="0.3">
      <c r="A59" s="5" t="s">
        <v>2235</v>
      </c>
      <c r="B59" s="5" t="s">
        <v>2362</v>
      </c>
      <c r="C59" s="5" t="s">
        <v>1918</v>
      </c>
      <c r="D59" s="5" t="s">
        <v>1918</v>
      </c>
      <c r="E59" s="5" t="s">
        <v>1918</v>
      </c>
      <c r="F59" s="5" t="s">
        <v>2363</v>
      </c>
      <c r="G59" s="5" t="s">
        <v>1918</v>
      </c>
      <c r="H59" s="5" t="s">
        <v>1918</v>
      </c>
      <c r="I59" s="5" t="s">
        <v>2364</v>
      </c>
      <c r="J59" s="5" t="s">
        <v>2126</v>
      </c>
      <c r="K59" s="5" t="s">
        <v>1918</v>
      </c>
      <c r="L59" s="5" t="s">
        <v>1918</v>
      </c>
      <c r="M59" s="5" t="s">
        <v>1918</v>
      </c>
      <c r="N59" s="5" t="s">
        <v>1920</v>
      </c>
      <c r="O59" s="5" t="s">
        <v>1918</v>
      </c>
      <c r="P59" s="5" t="s">
        <v>1918</v>
      </c>
      <c r="Q59" s="5" t="s">
        <v>1918</v>
      </c>
      <c r="R59" s="5" t="s">
        <v>1918</v>
      </c>
      <c r="S59" s="5" t="s">
        <v>1918</v>
      </c>
      <c r="T59" s="5" t="s">
        <v>1918</v>
      </c>
      <c r="U59" s="5" t="s">
        <v>1918</v>
      </c>
      <c r="V59" s="5" t="s">
        <v>2365</v>
      </c>
      <c r="W59" s="5" t="s">
        <v>2366</v>
      </c>
      <c r="X59" s="5" t="s">
        <v>1918</v>
      </c>
      <c r="Y59" s="5" t="s">
        <v>2367</v>
      </c>
      <c r="Z59" s="5" t="s">
        <v>2368</v>
      </c>
      <c r="AA59" s="5" t="s">
        <v>1918</v>
      </c>
      <c r="AB59" s="5" t="s">
        <v>1918</v>
      </c>
      <c r="AC59" s="5" t="s">
        <v>1918</v>
      </c>
      <c r="AD59" s="5" t="s">
        <v>1918</v>
      </c>
      <c r="AE59" s="5" t="s">
        <v>1918</v>
      </c>
      <c r="AF59" s="5" t="s">
        <v>1918</v>
      </c>
      <c r="AG59" s="5">
        <v>45</v>
      </c>
      <c r="AH59" s="5">
        <v>9</v>
      </c>
      <c r="AI59" s="5">
        <v>11</v>
      </c>
      <c r="AJ59" s="5" t="s">
        <v>1918</v>
      </c>
      <c r="AK59" s="5" t="s">
        <v>1918</v>
      </c>
      <c r="AL59" s="5" t="s">
        <v>1918</v>
      </c>
      <c r="AM59" s="5" t="s">
        <v>1918</v>
      </c>
      <c r="AN59" s="5" t="s">
        <v>1918</v>
      </c>
      <c r="AO59" s="5" t="s">
        <v>1918</v>
      </c>
      <c r="AP59" s="5" t="s">
        <v>1918</v>
      </c>
      <c r="AQ59" s="5" t="s">
        <v>1918</v>
      </c>
      <c r="AR59" s="5" t="s">
        <v>1918</v>
      </c>
      <c r="AS59" s="5" t="s">
        <v>1918</v>
      </c>
      <c r="AT59" s="5" t="s">
        <v>1954</v>
      </c>
      <c r="AU59" s="5">
        <v>2022</v>
      </c>
      <c r="AV59" s="5">
        <v>19</v>
      </c>
      <c r="AW59" s="5">
        <v>17</v>
      </c>
      <c r="AX59" s="5" t="s">
        <v>1918</v>
      </c>
      <c r="AY59" s="5" t="s">
        <v>1918</v>
      </c>
      <c r="AZ59" s="5" t="s">
        <v>1918</v>
      </c>
      <c r="BA59" s="5" t="s">
        <v>1918</v>
      </c>
      <c r="BB59" s="5" t="s">
        <v>1918</v>
      </c>
      <c r="BC59" s="5" t="s">
        <v>1918</v>
      </c>
      <c r="BD59" s="5">
        <v>10493</v>
      </c>
      <c r="BE59" s="5" t="s">
        <v>2369</v>
      </c>
      <c r="BF59" s="5">
        <v>0</v>
      </c>
      <c r="BG59" s="5" t="s">
        <v>1918</v>
      </c>
      <c r="BH59" s="5" t="s">
        <v>1918</v>
      </c>
      <c r="BI59" s="5" t="s">
        <v>1918</v>
      </c>
      <c r="BJ59" s="5" t="s">
        <v>1918</v>
      </c>
      <c r="BK59" s="5" t="s">
        <v>1918</v>
      </c>
      <c r="BL59" s="5" t="s">
        <v>1918</v>
      </c>
      <c r="BM59" s="5" t="s">
        <v>1918</v>
      </c>
      <c r="BN59" s="5" t="s">
        <v>1918</v>
      </c>
      <c r="BO59" s="5" t="s">
        <v>1918</v>
      </c>
      <c r="BP59" s="5" t="s">
        <v>1918</v>
      </c>
      <c r="BQ59" s="5" t="s">
        <v>1918</v>
      </c>
      <c r="BR59" s="5" t="s">
        <v>1927</v>
      </c>
      <c r="BS59" s="5" t="s">
        <v>2370</v>
      </c>
      <c r="BT59" s="5">
        <v>0</v>
      </c>
      <c r="BU59">
        <f>COUNTIF('오픈소스&amp;직접수집'!F:F,'wos(corecollection)_260528'!BE59)</f>
        <v>0</v>
      </c>
      <c r="BV59">
        <f>COUNTIF('오픈소스&amp;직접수집'!A:A,'wos(corecollection)_260528'!I59)</f>
        <v>0</v>
      </c>
      <c r="BW59">
        <f t="shared" si="0"/>
        <v>0</v>
      </c>
    </row>
    <row r="60" spans="1:75" x14ac:dyDescent="0.3">
      <c r="A60" s="5" t="s">
        <v>2235</v>
      </c>
      <c r="B60" s="5" t="s">
        <v>2371</v>
      </c>
      <c r="C60" s="5" t="s">
        <v>1918</v>
      </c>
      <c r="D60" s="5" t="s">
        <v>1918</v>
      </c>
      <c r="E60" s="5" t="s">
        <v>1918</v>
      </c>
      <c r="F60" s="5" t="s">
        <v>2372</v>
      </c>
      <c r="G60" s="5" t="s">
        <v>1918</v>
      </c>
      <c r="H60" s="5" t="s">
        <v>1918</v>
      </c>
      <c r="I60" s="5" t="s">
        <v>1691</v>
      </c>
      <c r="J60" s="5" t="s">
        <v>2373</v>
      </c>
      <c r="K60" s="5" t="s">
        <v>1918</v>
      </c>
      <c r="L60" s="5" t="s">
        <v>1918</v>
      </c>
      <c r="M60" s="5" t="s">
        <v>1918</v>
      </c>
      <c r="N60" s="5" t="s">
        <v>1920</v>
      </c>
      <c r="O60" s="5" t="s">
        <v>1918</v>
      </c>
      <c r="P60" s="5" t="s">
        <v>1918</v>
      </c>
      <c r="Q60" s="5" t="s">
        <v>1918</v>
      </c>
      <c r="R60" s="5" t="s">
        <v>1918</v>
      </c>
      <c r="S60" s="5" t="s">
        <v>1918</v>
      </c>
      <c r="T60" s="5" t="s">
        <v>1918</v>
      </c>
      <c r="U60" s="5" t="s">
        <v>1918</v>
      </c>
      <c r="V60" s="5" t="s">
        <v>2374</v>
      </c>
      <c r="W60" s="5" t="s">
        <v>2375</v>
      </c>
      <c r="X60" s="5" t="s">
        <v>1918</v>
      </c>
      <c r="Y60" s="5" t="s">
        <v>2376</v>
      </c>
      <c r="Z60" s="5" t="s">
        <v>2377</v>
      </c>
      <c r="AA60" s="5" t="s">
        <v>1918</v>
      </c>
      <c r="AB60" s="5" t="s">
        <v>1918</v>
      </c>
      <c r="AC60" s="5" t="s">
        <v>1918</v>
      </c>
      <c r="AD60" s="5" t="s">
        <v>1918</v>
      </c>
      <c r="AE60" s="5" t="s">
        <v>1918</v>
      </c>
      <c r="AF60" s="5" t="s">
        <v>1918</v>
      </c>
      <c r="AG60" s="5">
        <v>49</v>
      </c>
      <c r="AH60" s="5">
        <v>2</v>
      </c>
      <c r="AI60" s="5">
        <v>2</v>
      </c>
      <c r="AJ60" s="5" t="s">
        <v>1918</v>
      </c>
      <c r="AK60" s="5" t="s">
        <v>1918</v>
      </c>
      <c r="AL60" s="5" t="s">
        <v>1918</v>
      </c>
      <c r="AM60" s="5" t="s">
        <v>1918</v>
      </c>
      <c r="AN60" s="5" t="s">
        <v>1918</v>
      </c>
      <c r="AO60" s="5" t="s">
        <v>1918</v>
      </c>
      <c r="AP60" s="5" t="s">
        <v>1918</v>
      </c>
      <c r="AQ60" s="5" t="s">
        <v>1918</v>
      </c>
      <c r="AR60" s="5" t="s">
        <v>1918</v>
      </c>
      <c r="AS60" s="5" t="s">
        <v>1918</v>
      </c>
      <c r="AT60" s="5" t="s">
        <v>2378</v>
      </c>
      <c r="AU60" s="5">
        <v>2022</v>
      </c>
      <c r="AV60" s="5">
        <v>67</v>
      </c>
      <c r="AW60" s="5" t="s">
        <v>1918</v>
      </c>
      <c r="AX60" s="5" t="s">
        <v>1918</v>
      </c>
      <c r="AY60" s="5" t="s">
        <v>1918</v>
      </c>
      <c r="AZ60" s="5" t="s">
        <v>1918</v>
      </c>
      <c r="BA60" s="5" t="s">
        <v>1918</v>
      </c>
      <c r="BB60" s="5">
        <v>57</v>
      </c>
      <c r="BC60" s="5">
        <v>63</v>
      </c>
      <c r="BD60" s="5" t="s">
        <v>1918</v>
      </c>
      <c r="BE60" s="5" t="s">
        <v>2379</v>
      </c>
      <c r="BF60" s="5">
        <v>0</v>
      </c>
      <c r="BG60" s="5" t="s">
        <v>1918</v>
      </c>
      <c r="BH60" s="5" t="s">
        <v>2380</v>
      </c>
      <c r="BI60" s="5" t="s">
        <v>1918</v>
      </c>
      <c r="BJ60" s="5" t="s">
        <v>1918</v>
      </c>
      <c r="BK60" s="5" t="s">
        <v>1918</v>
      </c>
      <c r="BL60" s="5" t="s">
        <v>1918</v>
      </c>
      <c r="BM60" s="5" t="s">
        <v>1918</v>
      </c>
      <c r="BN60" s="5" t="s">
        <v>1918</v>
      </c>
      <c r="BO60" s="5" t="s">
        <v>1918</v>
      </c>
      <c r="BP60" s="5" t="s">
        <v>1918</v>
      </c>
      <c r="BQ60" s="5" t="s">
        <v>1918</v>
      </c>
      <c r="BR60" s="5" t="s">
        <v>1927</v>
      </c>
      <c r="BS60" s="5" t="s">
        <v>2381</v>
      </c>
      <c r="BT60" s="5">
        <v>0</v>
      </c>
      <c r="BU60">
        <f>COUNTIF('오픈소스&amp;직접수집'!F:F,'wos(corecollection)_260528'!BE60)</f>
        <v>0</v>
      </c>
      <c r="BV60">
        <f>COUNTIF('오픈소스&amp;직접수집'!A:A,'wos(corecollection)_260528'!I60)</f>
        <v>1</v>
      </c>
      <c r="BW60">
        <f t="shared" si="0"/>
        <v>1</v>
      </c>
    </row>
    <row r="61" spans="1:75" x14ac:dyDescent="0.3">
      <c r="A61" s="5" t="s">
        <v>2235</v>
      </c>
      <c r="B61" s="5" t="s">
        <v>2106</v>
      </c>
      <c r="C61" s="5" t="s">
        <v>1918</v>
      </c>
      <c r="D61" s="5" t="s">
        <v>1918</v>
      </c>
      <c r="E61" s="5" t="s">
        <v>1918</v>
      </c>
      <c r="F61" s="5" t="s">
        <v>2107</v>
      </c>
      <c r="G61" s="5" t="s">
        <v>1918</v>
      </c>
      <c r="H61" s="5" t="s">
        <v>1918</v>
      </c>
      <c r="I61" s="5" t="s">
        <v>761</v>
      </c>
      <c r="J61" s="5" t="s">
        <v>1772</v>
      </c>
      <c r="K61" s="5" t="s">
        <v>1918</v>
      </c>
      <c r="L61" s="5" t="s">
        <v>1918</v>
      </c>
      <c r="M61" s="5" t="s">
        <v>1918</v>
      </c>
      <c r="N61" s="5" t="s">
        <v>2108</v>
      </c>
      <c r="O61" s="5" t="s">
        <v>2109</v>
      </c>
      <c r="P61" s="5" t="s">
        <v>2110</v>
      </c>
      <c r="Q61" s="5" t="s">
        <v>2111</v>
      </c>
      <c r="R61" s="5" t="s">
        <v>1918</v>
      </c>
      <c r="S61" s="5" t="s">
        <v>1918</v>
      </c>
      <c r="T61" s="5" t="s">
        <v>1918</v>
      </c>
      <c r="U61" s="5" t="s">
        <v>1918</v>
      </c>
      <c r="V61" s="5" t="s">
        <v>2112</v>
      </c>
      <c r="W61" s="5" t="s">
        <v>2113</v>
      </c>
      <c r="X61" s="5" t="s">
        <v>1918</v>
      </c>
      <c r="Y61" s="5" t="s">
        <v>2114</v>
      </c>
      <c r="Z61" s="5" t="s">
        <v>2084</v>
      </c>
      <c r="AA61" s="5" t="s">
        <v>1918</v>
      </c>
      <c r="AB61" s="5" t="s">
        <v>1918</v>
      </c>
      <c r="AC61" s="5" t="s">
        <v>1918</v>
      </c>
      <c r="AD61" s="5" t="s">
        <v>1918</v>
      </c>
      <c r="AE61" s="5" t="s">
        <v>1918</v>
      </c>
      <c r="AF61" s="5" t="s">
        <v>1918</v>
      </c>
      <c r="AG61" s="5">
        <v>53</v>
      </c>
      <c r="AH61" s="5">
        <v>11</v>
      </c>
      <c r="AI61" s="5">
        <v>15</v>
      </c>
      <c r="AJ61" s="5" t="s">
        <v>1918</v>
      </c>
      <c r="AK61" s="5" t="s">
        <v>1918</v>
      </c>
      <c r="AL61" s="5" t="s">
        <v>1918</v>
      </c>
      <c r="AM61" s="5" t="s">
        <v>1918</v>
      </c>
      <c r="AN61" s="5" t="s">
        <v>1918</v>
      </c>
      <c r="AO61" s="5" t="s">
        <v>1918</v>
      </c>
      <c r="AP61" s="5" t="s">
        <v>1918</v>
      </c>
      <c r="AQ61" s="5" t="s">
        <v>1918</v>
      </c>
      <c r="AR61" s="5" t="s">
        <v>1918</v>
      </c>
      <c r="AS61" s="5" t="s">
        <v>1918</v>
      </c>
      <c r="AT61" s="5" t="s">
        <v>1973</v>
      </c>
      <c r="AU61" s="5">
        <v>2022</v>
      </c>
      <c r="AV61" s="5">
        <v>52</v>
      </c>
      <c r="AW61" s="5">
        <v>3</v>
      </c>
      <c r="AX61" s="5" t="s">
        <v>1918</v>
      </c>
      <c r="AY61" s="5" t="s">
        <v>1918</v>
      </c>
      <c r="AZ61" s="5" t="s">
        <v>1918</v>
      </c>
      <c r="BA61" s="5" t="s">
        <v>1918</v>
      </c>
      <c r="BB61" s="5">
        <v>291</v>
      </c>
      <c r="BC61" s="5">
        <v>307</v>
      </c>
      <c r="BD61" s="5" t="s">
        <v>1918</v>
      </c>
      <c r="BE61" s="5" t="s">
        <v>69</v>
      </c>
      <c r="BF61" s="5">
        <v>0</v>
      </c>
      <c r="BG61" s="5" t="s">
        <v>1918</v>
      </c>
      <c r="BH61" s="5" t="s">
        <v>1918</v>
      </c>
      <c r="BI61" s="5" t="s">
        <v>1918</v>
      </c>
      <c r="BJ61" s="5" t="s">
        <v>1918</v>
      </c>
      <c r="BK61" s="5" t="s">
        <v>1918</v>
      </c>
      <c r="BL61" s="5" t="s">
        <v>1918</v>
      </c>
      <c r="BM61" s="5" t="s">
        <v>1918</v>
      </c>
      <c r="BN61" s="5" t="s">
        <v>1918</v>
      </c>
      <c r="BO61" s="5" t="s">
        <v>1918</v>
      </c>
      <c r="BP61" s="5" t="s">
        <v>1918</v>
      </c>
      <c r="BQ61" s="5" t="s">
        <v>1918</v>
      </c>
      <c r="BR61" s="5" t="s">
        <v>1927</v>
      </c>
      <c r="BS61" s="5" t="s">
        <v>2115</v>
      </c>
      <c r="BT61" s="5">
        <v>0</v>
      </c>
      <c r="BU61">
        <f>COUNTIF('오픈소스&amp;직접수집'!F:F,'wos(corecollection)_260528'!BE61)</f>
        <v>1</v>
      </c>
      <c r="BV61">
        <f>COUNTIF('오픈소스&amp;직접수집'!A:A,'wos(corecollection)_260528'!I61)</f>
        <v>0</v>
      </c>
      <c r="BW61">
        <f t="shared" si="0"/>
        <v>1</v>
      </c>
    </row>
    <row r="62" spans="1:75" x14ac:dyDescent="0.3">
      <c r="A62" s="5" t="s">
        <v>2235</v>
      </c>
      <c r="B62" s="5" t="s">
        <v>2272</v>
      </c>
      <c r="C62" s="5" t="s">
        <v>1918</v>
      </c>
      <c r="D62" s="5" t="s">
        <v>1918</v>
      </c>
      <c r="E62" s="5" t="s">
        <v>1918</v>
      </c>
      <c r="F62" s="5" t="s">
        <v>2273</v>
      </c>
      <c r="G62" s="5" t="s">
        <v>1918</v>
      </c>
      <c r="H62" s="5" t="s">
        <v>1918</v>
      </c>
      <c r="I62" s="5" t="s">
        <v>2382</v>
      </c>
      <c r="J62" s="5" t="s">
        <v>2383</v>
      </c>
      <c r="K62" s="5" t="s">
        <v>1918</v>
      </c>
      <c r="L62" s="5" t="s">
        <v>1918</v>
      </c>
      <c r="M62" s="5" t="s">
        <v>1918</v>
      </c>
      <c r="N62" s="5" t="s">
        <v>1920</v>
      </c>
      <c r="O62" s="5" t="s">
        <v>1918</v>
      </c>
      <c r="P62" s="5" t="s">
        <v>1918</v>
      </c>
      <c r="Q62" s="5" t="s">
        <v>1918</v>
      </c>
      <c r="R62" s="5" t="s">
        <v>1918</v>
      </c>
      <c r="S62" s="5" t="s">
        <v>1918</v>
      </c>
      <c r="T62" s="5" t="s">
        <v>1918</v>
      </c>
      <c r="U62" s="5" t="s">
        <v>1918</v>
      </c>
      <c r="V62" s="5" t="s">
        <v>2384</v>
      </c>
      <c r="W62" s="5" t="s">
        <v>2385</v>
      </c>
      <c r="X62" s="5" t="s">
        <v>1918</v>
      </c>
      <c r="Y62" s="5" t="s">
        <v>2386</v>
      </c>
      <c r="Z62" s="5" t="s">
        <v>2278</v>
      </c>
      <c r="AA62" s="5" t="s">
        <v>1918</v>
      </c>
      <c r="AB62" s="5" t="s">
        <v>1918</v>
      </c>
      <c r="AC62" s="5" t="s">
        <v>1918</v>
      </c>
      <c r="AD62" s="5" t="s">
        <v>1918</v>
      </c>
      <c r="AE62" s="5" t="s">
        <v>1918</v>
      </c>
      <c r="AF62" s="5" t="s">
        <v>1918</v>
      </c>
      <c r="AG62" s="5">
        <v>96</v>
      </c>
      <c r="AH62" s="5">
        <v>11</v>
      </c>
      <c r="AI62" s="5">
        <v>13</v>
      </c>
      <c r="AJ62" s="5" t="s">
        <v>1918</v>
      </c>
      <c r="AK62" s="5" t="s">
        <v>1918</v>
      </c>
      <c r="AL62" s="5" t="s">
        <v>1918</v>
      </c>
      <c r="AM62" s="5" t="s">
        <v>1918</v>
      </c>
      <c r="AN62" s="5" t="s">
        <v>1918</v>
      </c>
      <c r="AO62" s="5" t="s">
        <v>1918</v>
      </c>
      <c r="AP62" s="5" t="s">
        <v>1918</v>
      </c>
      <c r="AQ62" s="5" t="s">
        <v>1918</v>
      </c>
      <c r="AR62" s="5" t="s">
        <v>1918</v>
      </c>
      <c r="AS62" s="5" t="s">
        <v>1918</v>
      </c>
      <c r="AT62" s="5" t="s">
        <v>2387</v>
      </c>
      <c r="AU62" s="5">
        <v>2022</v>
      </c>
      <c r="AV62" s="5">
        <v>191</v>
      </c>
      <c r="AW62" s="5" t="s">
        <v>1918</v>
      </c>
      <c r="AX62" s="5" t="s">
        <v>1918</v>
      </c>
      <c r="AY62" s="5" t="s">
        <v>1918</v>
      </c>
      <c r="AZ62" s="5" t="s">
        <v>1918</v>
      </c>
      <c r="BA62" s="5" t="s">
        <v>1918</v>
      </c>
      <c r="BB62" s="5" t="s">
        <v>1918</v>
      </c>
      <c r="BC62" s="5" t="s">
        <v>1918</v>
      </c>
      <c r="BD62" s="5">
        <v>116129</v>
      </c>
      <c r="BE62" s="5" t="s">
        <v>2388</v>
      </c>
      <c r="BF62" s="5">
        <v>0</v>
      </c>
      <c r="BG62" s="5" t="s">
        <v>1918</v>
      </c>
      <c r="BH62" s="5" t="s">
        <v>2389</v>
      </c>
      <c r="BI62" s="5" t="s">
        <v>1918</v>
      </c>
      <c r="BJ62" s="5" t="s">
        <v>1918</v>
      </c>
      <c r="BK62" s="5" t="s">
        <v>1918</v>
      </c>
      <c r="BL62" s="5" t="s">
        <v>1918</v>
      </c>
      <c r="BM62" s="5" t="s">
        <v>1918</v>
      </c>
      <c r="BN62" s="5" t="s">
        <v>1918</v>
      </c>
      <c r="BO62" s="5" t="s">
        <v>1918</v>
      </c>
      <c r="BP62" s="5" t="s">
        <v>1918</v>
      </c>
      <c r="BQ62" s="5" t="s">
        <v>1918</v>
      </c>
      <c r="BR62" s="5" t="s">
        <v>1927</v>
      </c>
      <c r="BS62" s="5" t="s">
        <v>2390</v>
      </c>
      <c r="BT62" s="5">
        <v>0</v>
      </c>
      <c r="BU62">
        <f>COUNTIF('오픈소스&amp;직접수집'!F:F,'wos(corecollection)_260528'!BE62)</f>
        <v>0</v>
      </c>
      <c r="BV62">
        <f>COUNTIF('오픈소스&amp;직접수집'!A:A,'wos(corecollection)_260528'!I62)</f>
        <v>0</v>
      </c>
      <c r="BW62">
        <f t="shared" si="0"/>
        <v>0</v>
      </c>
    </row>
    <row r="63" spans="1:75" x14ac:dyDescent="0.3">
      <c r="A63" s="5" t="s">
        <v>2235</v>
      </c>
      <c r="B63" s="5" t="s">
        <v>2391</v>
      </c>
      <c r="C63" s="5" t="s">
        <v>1918</v>
      </c>
      <c r="D63" s="5" t="s">
        <v>1918</v>
      </c>
      <c r="E63" s="5" t="s">
        <v>1918</v>
      </c>
      <c r="F63" s="5" t="s">
        <v>2392</v>
      </c>
      <c r="G63" s="5" t="s">
        <v>1918</v>
      </c>
      <c r="H63" s="5" t="s">
        <v>1918</v>
      </c>
      <c r="I63" s="5" t="s">
        <v>2393</v>
      </c>
      <c r="J63" s="5" t="s">
        <v>2394</v>
      </c>
      <c r="K63" s="5" t="s">
        <v>1918</v>
      </c>
      <c r="L63" s="5" t="s">
        <v>1918</v>
      </c>
      <c r="M63" s="5" t="s">
        <v>1918</v>
      </c>
      <c r="N63" s="5" t="s">
        <v>1920</v>
      </c>
      <c r="O63" s="5" t="s">
        <v>1918</v>
      </c>
      <c r="P63" s="5" t="s">
        <v>1918</v>
      </c>
      <c r="Q63" s="5" t="s">
        <v>1918</v>
      </c>
      <c r="R63" s="5" t="s">
        <v>1918</v>
      </c>
      <c r="S63" s="5" t="s">
        <v>1918</v>
      </c>
      <c r="T63" s="5" t="s">
        <v>1918</v>
      </c>
      <c r="U63" s="5" t="s">
        <v>1918</v>
      </c>
      <c r="V63" s="5" t="s">
        <v>2395</v>
      </c>
      <c r="W63" s="5" t="s">
        <v>2396</v>
      </c>
      <c r="X63" s="5" t="s">
        <v>1918</v>
      </c>
      <c r="Y63" s="5" t="s">
        <v>2397</v>
      </c>
      <c r="Z63" s="5" t="s">
        <v>2398</v>
      </c>
      <c r="AA63" s="5" t="s">
        <v>1918</v>
      </c>
      <c r="AB63" s="5" t="s">
        <v>1918</v>
      </c>
      <c r="AC63" s="5" t="s">
        <v>1918</v>
      </c>
      <c r="AD63" s="5" t="s">
        <v>1918</v>
      </c>
      <c r="AE63" s="5" t="s">
        <v>1918</v>
      </c>
      <c r="AF63" s="5" t="s">
        <v>1918</v>
      </c>
      <c r="AG63" s="5">
        <v>81</v>
      </c>
      <c r="AH63" s="5">
        <v>17</v>
      </c>
      <c r="AI63" s="5">
        <v>23</v>
      </c>
      <c r="AJ63" s="5" t="s">
        <v>1918</v>
      </c>
      <c r="AK63" s="5" t="s">
        <v>1918</v>
      </c>
      <c r="AL63" s="5" t="s">
        <v>1918</v>
      </c>
      <c r="AM63" s="5" t="s">
        <v>1918</v>
      </c>
      <c r="AN63" s="5" t="s">
        <v>1918</v>
      </c>
      <c r="AO63" s="5" t="s">
        <v>1918</v>
      </c>
      <c r="AP63" s="5" t="s">
        <v>1918</v>
      </c>
      <c r="AQ63" s="5" t="s">
        <v>1918</v>
      </c>
      <c r="AR63" s="5" t="s">
        <v>1918</v>
      </c>
      <c r="AS63" s="5" t="s">
        <v>1918</v>
      </c>
      <c r="AT63" s="5" t="s">
        <v>2077</v>
      </c>
      <c r="AU63" s="5">
        <v>2022</v>
      </c>
      <c r="AV63" s="5">
        <v>135</v>
      </c>
      <c r="AW63" s="5" t="s">
        <v>1918</v>
      </c>
      <c r="AX63" s="5" t="s">
        <v>1918</v>
      </c>
      <c r="AY63" s="5" t="s">
        <v>1918</v>
      </c>
      <c r="AZ63" s="5" t="s">
        <v>1918</v>
      </c>
      <c r="BA63" s="5" t="s">
        <v>1918</v>
      </c>
      <c r="BB63" s="5" t="s">
        <v>1918</v>
      </c>
      <c r="BC63" s="5" t="s">
        <v>1918</v>
      </c>
      <c r="BD63" s="5">
        <v>102640</v>
      </c>
      <c r="BE63" s="5" t="s">
        <v>2399</v>
      </c>
      <c r="BF63" s="5">
        <v>0</v>
      </c>
      <c r="BG63" s="5" t="s">
        <v>1918</v>
      </c>
      <c r="BH63" s="5" t="s">
        <v>2400</v>
      </c>
      <c r="BI63" s="5" t="s">
        <v>1918</v>
      </c>
      <c r="BJ63" s="5" t="s">
        <v>1918</v>
      </c>
      <c r="BK63" s="5" t="s">
        <v>1918</v>
      </c>
      <c r="BL63" s="5" t="s">
        <v>1918</v>
      </c>
      <c r="BM63" s="5" t="s">
        <v>1918</v>
      </c>
      <c r="BN63" s="5" t="s">
        <v>1918</v>
      </c>
      <c r="BO63" s="5" t="s">
        <v>1918</v>
      </c>
      <c r="BP63" s="5" t="s">
        <v>1918</v>
      </c>
      <c r="BQ63" s="5" t="s">
        <v>1918</v>
      </c>
      <c r="BR63" s="5" t="s">
        <v>1927</v>
      </c>
      <c r="BS63" s="5" t="s">
        <v>2401</v>
      </c>
      <c r="BT63" s="5">
        <v>0</v>
      </c>
      <c r="BU63">
        <f>COUNTIF('오픈소스&amp;직접수집'!F:F,'wos(corecollection)_260528'!BE63)</f>
        <v>0</v>
      </c>
      <c r="BV63">
        <f>COUNTIF('오픈소스&amp;직접수집'!A:A,'wos(corecollection)_260528'!I63)</f>
        <v>0</v>
      </c>
      <c r="BW63">
        <f t="shared" si="0"/>
        <v>0</v>
      </c>
    </row>
    <row r="64" spans="1:75" x14ac:dyDescent="0.3">
      <c r="A64" s="5" t="s">
        <v>2235</v>
      </c>
      <c r="B64" s="5" t="s">
        <v>2402</v>
      </c>
      <c r="C64" s="5" t="s">
        <v>1918</v>
      </c>
      <c r="D64" s="5" t="s">
        <v>1918</v>
      </c>
      <c r="E64" s="5" t="s">
        <v>1918</v>
      </c>
      <c r="F64" s="5" t="s">
        <v>2403</v>
      </c>
      <c r="G64" s="5" t="s">
        <v>1918</v>
      </c>
      <c r="H64" s="5" t="s">
        <v>1918</v>
      </c>
      <c r="I64" s="5" t="s">
        <v>2404</v>
      </c>
      <c r="J64" s="5" t="s">
        <v>2318</v>
      </c>
      <c r="K64" s="5" t="s">
        <v>1918</v>
      </c>
      <c r="L64" s="5" t="s">
        <v>1918</v>
      </c>
      <c r="M64" s="5" t="s">
        <v>1918</v>
      </c>
      <c r="N64" s="5" t="s">
        <v>1920</v>
      </c>
      <c r="O64" s="5" t="s">
        <v>1918</v>
      </c>
      <c r="P64" s="5" t="s">
        <v>1918</v>
      </c>
      <c r="Q64" s="5" t="s">
        <v>1918</v>
      </c>
      <c r="R64" s="5" t="s">
        <v>1918</v>
      </c>
      <c r="S64" s="5" t="s">
        <v>1918</v>
      </c>
      <c r="T64" s="5" t="s">
        <v>1918</v>
      </c>
      <c r="U64" s="5" t="s">
        <v>1918</v>
      </c>
      <c r="V64" s="5" t="s">
        <v>2405</v>
      </c>
      <c r="W64" s="5" t="s">
        <v>2406</v>
      </c>
      <c r="X64" s="5" t="s">
        <v>1918</v>
      </c>
      <c r="Y64" s="5" t="s">
        <v>2407</v>
      </c>
      <c r="Z64" s="5" t="s">
        <v>2408</v>
      </c>
      <c r="AA64" s="5" t="s">
        <v>1918</v>
      </c>
      <c r="AB64" s="5" t="s">
        <v>1918</v>
      </c>
      <c r="AC64" s="5" t="s">
        <v>1918</v>
      </c>
      <c r="AD64" s="5" t="s">
        <v>1918</v>
      </c>
      <c r="AE64" s="5" t="s">
        <v>1918</v>
      </c>
      <c r="AF64" s="5" t="s">
        <v>1918</v>
      </c>
      <c r="AG64" s="5">
        <v>40</v>
      </c>
      <c r="AH64" s="5">
        <v>12</v>
      </c>
      <c r="AI64" s="5">
        <v>13</v>
      </c>
      <c r="AJ64" s="5" t="s">
        <v>1918</v>
      </c>
      <c r="AK64" s="5" t="s">
        <v>1918</v>
      </c>
      <c r="AL64" s="5" t="s">
        <v>1918</v>
      </c>
      <c r="AM64" s="5" t="s">
        <v>1918</v>
      </c>
      <c r="AN64" s="5" t="s">
        <v>1918</v>
      </c>
      <c r="AO64" s="5" t="s">
        <v>1918</v>
      </c>
      <c r="AP64" s="5" t="s">
        <v>1918</v>
      </c>
      <c r="AQ64" s="5" t="s">
        <v>1918</v>
      </c>
      <c r="AR64" s="5" t="s">
        <v>1918</v>
      </c>
      <c r="AS64" s="5" t="s">
        <v>1918</v>
      </c>
      <c r="AT64" s="5" t="s">
        <v>1954</v>
      </c>
      <c r="AU64" s="5">
        <v>2021</v>
      </c>
      <c r="AV64" s="5">
        <v>41</v>
      </c>
      <c r="AW64" s="5" t="s">
        <v>1918</v>
      </c>
      <c r="AX64" s="5" t="s">
        <v>1918</v>
      </c>
      <c r="AY64" s="5" t="s">
        <v>1918</v>
      </c>
      <c r="AZ64" s="5" t="s">
        <v>1918</v>
      </c>
      <c r="BA64" s="5" t="s">
        <v>1918</v>
      </c>
      <c r="BB64" s="5" t="s">
        <v>1918</v>
      </c>
      <c r="BC64" s="5" t="s">
        <v>1918</v>
      </c>
      <c r="BD64" s="5">
        <v>102890</v>
      </c>
      <c r="BE64" s="5" t="s">
        <v>2409</v>
      </c>
      <c r="BF64" s="5">
        <v>0</v>
      </c>
      <c r="BG64" s="5" t="s">
        <v>1918</v>
      </c>
      <c r="BH64" s="5" t="s">
        <v>2410</v>
      </c>
      <c r="BI64" s="5" t="s">
        <v>1918</v>
      </c>
      <c r="BJ64" s="5" t="s">
        <v>1918</v>
      </c>
      <c r="BK64" s="5" t="s">
        <v>1918</v>
      </c>
      <c r="BL64" s="5" t="s">
        <v>1918</v>
      </c>
      <c r="BM64" s="5" t="s">
        <v>1918</v>
      </c>
      <c r="BN64" s="5" t="s">
        <v>1918</v>
      </c>
      <c r="BO64" s="5" t="s">
        <v>1918</v>
      </c>
      <c r="BP64" s="5" t="s">
        <v>1918</v>
      </c>
      <c r="BQ64" s="5" t="s">
        <v>1918</v>
      </c>
      <c r="BR64" s="5" t="s">
        <v>1927</v>
      </c>
      <c r="BS64" s="5" t="s">
        <v>2411</v>
      </c>
      <c r="BT64" s="5">
        <v>0</v>
      </c>
      <c r="BU64">
        <f>COUNTIF('오픈소스&amp;직접수집'!F:F,'wos(corecollection)_260528'!BE64)</f>
        <v>0</v>
      </c>
      <c r="BV64">
        <f>COUNTIF('오픈소스&amp;직접수집'!A:A,'wos(corecollection)_260528'!I64)</f>
        <v>0</v>
      </c>
      <c r="BW64">
        <f t="shared" si="0"/>
        <v>0</v>
      </c>
    </row>
    <row r="65" spans="1:75" x14ac:dyDescent="0.3">
      <c r="A65" s="5" t="s">
        <v>2235</v>
      </c>
      <c r="B65" s="5" t="s">
        <v>1753</v>
      </c>
      <c r="C65" s="5" t="s">
        <v>1918</v>
      </c>
      <c r="D65" s="5" t="s">
        <v>1918</v>
      </c>
      <c r="E65" s="5" t="s">
        <v>1918</v>
      </c>
      <c r="F65" s="5" t="s">
        <v>2412</v>
      </c>
      <c r="G65" s="5" t="s">
        <v>1918</v>
      </c>
      <c r="H65" s="5" t="s">
        <v>1918</v>
      </c>
      <c r="I65" s="5" t="s">
        <v>1701</v>
      </c>
      <c r="J65" s="5" t="s">
        <v>1789</v>
      </c>
      <c r="K65" s="5" t="s">
        <v>1918</v>
      </c>
      <c r="L65" s="5" t="s">
        <v>1918</v>
      </c>
      <c r="M65" s="5" t="s">
        <v>1918</v>
      </c>
      <c r="N65" s="5" t="s">
        <v>1920</v>
      </c>
      <c r="O65" s="5" t="s">
        <v>1918</v>
      </c>
      <c r="P65" s="5" t="s">
        <v>1918</v>
      </c>
      <c r="Q65" s="5" t="s">
        <v>1918</v>
      </c>
      <c r="R65" s="5" t="s">
        <v>1918</v>
      </c>
      <c r="S65" s="5" t="s">
        <v>1918</v>
      </c>
      <c r="T65" s="5" t="s">
        <v>1918</v>
      </c>
      <c r="U65" s="5" t="s">
        <v>1918</v>
      </c>
      <c r="V65" s="5" t="s">
        <v>1719</v>
      </c>
      <c r="W65" s="5" t="s">
        <v>2413</v>
      </c>
      <c r="X65" s="5" t="s">
        <v>1918</v>
      </c>
      <c r="Y65" s="5" t="s">
        <v>2414</v>
      </c>
      <c r="Z65" s="5" t="s">
        <v>1918</v>
      </c>
      <c r="AA65" s="5" t="s">
        <v>1918</v>
      </c>
      <c r="AB65" s="5" t="s">
        <v>1918</v>
      </c>
      <c r="AC65" s="5" t="s">
        <v>1918</v>
      </c>
      <c r="AD65" s="5" t="s">
        <v>1918</v>
      </c>
      <c r="AE65" s="5" t="s">
        <v>1918</v>
      </c>
      <c r="AF65" s="5" t="s">
        <v>1918</v>
      </c>
      <c r="AG65" s="5">
        <v>28</v>
      </c>
      <c r="AH65" s="5">
        <v>0</v>
      </c>
      <c r="AI65" s="5">
        <v>1</v>
      </c>
      <c r="AJ65" s="5" t="s">
        <v>1918</v>
      </c>
      <c r="AK65" s="5" t="s">
        <v>1918</v>
      </c>
      <c r="AL65" s="5" t="s">
        <v>1918</v>
      </c>
      <c r="AM65" s="5" t="s">
        <v>1918</v>
      </c>
      <c r="AN65" s="5" t="s">
        <v>1918</v>
      </c>
      <c r="AO65" s="5" t="s">
        <v>1918</v>
      </c>
      <c r="AP65" s="5" t="s">
        <v>1918</v>
      </c>
      <c r="AQ65" s="5" t="s">
        <v>1918</v>
      </c>
      <c r="AR65" s="5" t="s">
        <v>1918</v>
      </c>
      <c r="AS65" s="5" t="s">
        <v>1918</v>
      </c>
      <c r="AT65" s="5" t="s">
        <v>2415</v>
      </c>
      <c r="AU65" s="5">
        <v>2021</v>
      </c>
      <c r="AV65" s="5">
        <v>9</v>
      </c>
      <c r="AW65" s="5">
        <v>3</v>
      </c>
      <c r="AX65" s="5" t="s">
        <v>1918</v>
      </c>
      <c r="AY65" s="5" t="s">
        <v>1918</v>
      </c>
      <c r="AZ65" s="5" t="s">
        <v>1918</v>
      </c>
      <c r="BA65" s="5" t="s">
        <v>1918</v>
      </c>
      <c r="BB65" s="5">
        <v>52</v>
      </c>
      <c r="BC65" s="5">
        <v>65</v>
      </c>
      <c r="BD65" s="5" t="s">
        <v>1918</v>
      </c>
      <c r="BE65" s="5" t="s">
        <v>2416</v>
      </c>
      <c r="BF65" s="5">
        <v>0</v>
      </c>
      <c r="BG65" s="5" t="s">
        <v>1918</v>
      </c>
      <c r="BH65" s="5" t="s">
        <v>1918</v>
      </c>
      <c r="BI65" s="5" t="s">
        <v>1918</v>
      </c>
      <c r="BJ65" s="5" t="s">
        <v>1918</v>
      </c>
      <c r="BK65" s="5" t="s">
        <v>1918</v>
      </c>
      <c r="BL65" s="5" t="s">
        <v>1918</v>
      </c>
      <c r="BM65" s="5" t="s">
        <v>1918</v>
      </c>
      <c r="BN65" s="5" t="s">
        <v>1918</v>
      </c>
      <c r="BO65" s="5" t="s">
        <v>1918</v>
      </c>
      <c r="BP65" s="5" t="s">
        <v>1918</v>
      </c>
      <c r="BQ65" s="5" t="s">
        <v>1918</v>
      </c>
      <c r="BR65" s="5" t="s">
        <v>1927</v>
      </c>
      <c r="BS65" s="5" t="s">
        <v>2417</v>
      </c>
      <c r="BT65" s="5">
        <v>0</v>
      </c>
      <c r="BU65">
        <f>COUNTIF('오픈소스&amp;직접수집'!F:F,'wos(corecollection)_260528'!BE65)</f>
        <v>0</v>
      </c>
      <c r="BV65">
        <f>COUNTIF('오픈소스&amp;직접수집'!A:A,'wos(corecollection)_260528'!I65)</f>
        <v>1</v>
      </c>
      <c r="BW65">
        <f t="shared" si="0"/>
        <v>1</v>
      </c>
    </row>
    <row r="66" spans="1:75" x14ac:dyDescent="0.3">
      <c r="A66" s="5" t="s">
        <v>2235</v>
      </c>
      <c r="B66" s="5" t="s">
        <v>2418</v>
      </c>
      <c r="C66" s="5" t="s">
        <v>1918</v>
      </c>
      <c r="D66" s="5" t="s">
        <v>1918</v>
      </c>
      <c r="E66" s="5" t="s">
        <v>1918</v>
      </c>
      <c r="F66" s="5" t="s">
        <v>2419</v>
      </c>
      <c r="G66" s="5" t="s">
        <v>1918</v>
      </c>
      <c r="H66" s="5" t="s">
        <v>1918</v>
      </c>
      <c r="I66" s="5" t="s">
        <v>2420</v>
      </c>
      <c r="J66" s="5" t="s">
        <v>2421</v>
      </c>
      <c r="K66" s="5" t="s">
        <v>1918</v>
      </c>
      <c r="L66" s="5" t="s">
        <v>1918</v>
      </c>
      <c r="M66" s="5" t="s">
        <v>1918</v>
      </c>
      <c r="N66" s="5" t="s">
        <v>1920</v>
      </c>
      <c r="O66" s="5" t="s">
        <v>1918</v>
      </c>
      <c r="P66" s="5" t="s">
        <v>1918</v>
      </c>
      <c r="Q66" s="5" t="s">
        <v>1918</v>
      </c>
      <c r="R66" s="5" t="s">
        <v>1918</v>
      </c>
      <c r="S66" s="5" t="s">
        <v>1918</v>
      </c>
      <c r="T66" s="5" t="s">
        <v>1918</v>
      </c>
      <c r="U66" s="5" t="s">
        <v>1918</v>
      </c>
      <c r="V66" s="5" t="s">
        <v>2422</v>
      </c>
      <c r="W66" s="5" t="s">
        <v>2423</v>
      </c>
      <c r="X66" s="5" t="s">
        <v>1918</v>
      </c>
      <c r="Y66" s="5" t="s">
        <v>2424</v>
      </c>
      <c r="Z66" s="5" t="s">
        <v>2425</v>
      </c>
      <c r="AA66" s="5" t="s">
        <v>1918</v>
      </c>
      <c r="AB66" s="5" t="s">
        <v>1918</v>
      </c>
      <c r="AC66" s="5" t="s">
        <v>1918</v>
      </c>
      <c r="AD66" s="5" t="s">
        <v>1918</v>
      </c>
      <c r="AE66" s="5" t="s">
        <v>1918</v>
      </c>
      <c r="AF66" s="5" t="s">
        <v>1918</v>
      </c>
      <c r="AG66" s="5">
        <v>95</v>
      </c>
      <c r="AH66" s="5">
        <v>16</v>
      </c>
      <c r="AI66" s="5">
        <v>16</v>
      </c>
      <c r="AJ66" s="5" t="s">
        <v>1918</v>
      </c>
      <c r="AK66" s="5" t="s">
        <v>1918</v>
      </c>
      <c r="AL66" s="5" t="s">
        <v>1918</v>
      </c>
      <c r="AM66" s="5" t="s">
        <v>1918</v>
      </c>
      <c r="AN66" s="5" t="s">
        <v>1918</v>
      </c>
      <c r="AO66" s="5" t="s">
        <v>1918</v>
      </c>
      <c r="AP66" s="5" t="s">
        <v>1918</v>
      </c>
      <c r="AQ66" s="5" t="s">
        <v>1918</v>
      </c>
      <c r="AR66" s="5" t="s">
        <v>1918</v>
      </c>
      <c r="AS66" s="5" t="s">
        <v>1918</v>
      </c>
      <c r="AT66" s="5" t="s">
        <v>1973</v>
      </c>
      <c r="AU66" s="5">
        <v>2021</v>
      </c>
      <c r="AV66" s="5">
        <v>12</v>
      </c>
      <c r="AW66" s="5">
        <v>6</v>
      </c>
      <c r="AX66" s="5" t="s">
        <v>1918</v>
      </c>
      <c r="AY66" s="5" t="s">
        <v>1918</v>
      </c>
      <c r="AZ66" s="5" t="s">
        <v>1918</v>
      </c>
      <c r="BA66" s="5" t="s">
        <v>1918</v>
      </c>
      <c r="BB66" s="5" t="s">
        <v>1918</v>
      </c>
      <c r="BC66" s="5" t="s">
        <v>1918</v>
      </c>
      <c r="BD66" s="5">
        <v>664</v>
      </c>
      <c r="BE66" s="5" t="s">
        <v>2426</v>
      </c>
      <c r="BF66" s="5">
        <v>0</v>
      </c>
      <c r="BG66" s="5" t="s">
        <v>1918</v>
      </c>
      <c r="BH66" s="5" t="s">
        <v>1918</v>
      </c>
      <c r="BI66" s="5" t="s">
        <v>1918</v>
      </c>
      <c r="BJ66" s="5" t="s">
        <v>1918</v>
      </c>
      <c r="BK66" s="5" t="s">
        <v>1918</v>
      </c>
      <c r="BL66" s="5" t="s">
        <v>1918</v>
      </c>
      <c r="BM66" s="5" t="s">
        <v>1918</v>
      </c>
      <c r="BN66" s="5" t="s">
        <v>1918</v>
      </c>
      <c r="BO66" s="5" t="s">
        <v>1918</v>
      </c>
      <c r="BP66" s="5" t="s">
        <v>1918</v>
      </c>
      <c r="BQ66" s="5" t="s">
        <v>1918</v>
      </c>
      <c r="BR66" s="5" t="s">
        <v>1927</v>
      </c>
      <c r="BS66" s="5" t="s">
        <v>2427</v>
      </c>
      <c r="BT66" s="5">
        <v>0</v>
      </c>
      <c r="BU66">
        <f>COUNTIF('오픈소스&amp;직접수집'!F:F,'wos(corecollection)_260528'!BE66)</f>
        <v>0</v>
      </c>
      <c r="BV66">
        <f>COUNTIF('오픈소스&amp;직접수집'!A:A,'wos(corecollection)_260528'!I66)</f>
        <v>0</v>
      </c>
      <c r="BW66">
        <f t="shared" si="0"/>
        <v>0</v>
      </c>
    </row>
    <row r="67" spans="1:75" x14ac:dyDescent="0.3">
      <c r="A67" s="5" t="s">
        <v>2235</v>
      </c>
      <c r="B67" s="5" t="s">
        <v>2428</v>
      </c>
      <c r="C67" s="5" t="s">
        <v>1918</v>
      </c>
      <c r="D67" s="5" t="s">
        <v>1918</v>
      </c>
      <c r="E67" s="5" t="s">
        <v>1918</v>
      </c>
      <c r="F67" s="5" t="s">
        <v>2429</v>
      </c>
      <c r="G67" s="5" t="s">
        <v>1918</v>
      </c>
      <c r="H67" s="5" t="s">
        <v>1918</v>
      </c>
      <c r="I67" s="5" t="s">
        <v>2430</v>
      </c>
      <c r="J67" s="5" t="s">
        <v>2099</v>
      </c>
      <c r="K67" s="5" t="s">
        <v>1918</v>
      </c>
      <c r="L67" s="5" t="s">
        <v>1918</v>
      </c>
      <c r="M67" s="5" t="s">
        <v>1918</v>
      </c>
      <c r="N67" s="5" t="s">
        <v>2028</v>
      </c>
      <c r="O67" s="5" t="s">
        <v>1918</v>
      </c>
      <c r="P67" s="5" t="s">
        <v>1918</v>
      </c>
      <c r="Q67" s="5" t="s">
        <v>1918</v>
      </c>
      <c r="R67" s="5" t="s">
        <v>1918</v>
      </c>
      <c r="S67" s="5" t="s">
        <v>1918</v>
      </c>
      <c r="T67" s="5" t="s">
        <v>1918</v>
      </c>
      <c r="U67" s="5" t="s">
        <v>1918</v>
      </c>
      <c r="V67" s="5" t="s">
        <v>2431</v>
      </c>
      <c r="W67" s="5" t="s">
        <v>2432</v>
      </c>
      <c r="X67" s="5" t="s">
        <v>1918</v>
      </c>
      <c r="Y67" s="5" t="s">
        <v>2433</v>
      </c>
      <c r="Z67" s="5" t="s">
        <v>2434</v>
      </c>
      <c r="AA67" s="5" t="s">
        <v>1918</v>
      </c>
      <c r="AB67" s="5" t="s">
        <v>1918</v>
      </c>
      <c r="AC67" s="5" t="s">
        <v>1918</v>
      </c>
      <c r="AD67" s="5" t="s">
        <v>1918</v>
      </c>
      <c r="AE67" s="5" t="s">
        <v>1918</v>
      </c>
      <c r="AF67" s="5" t="s">
        <v>1918</v>
      </c>
      <c r="AG67" s="5">
        <v>53</v>
      </c>
      <c r="AH67" s="5">
        <v>16</v>
      </c>
      <c r="AI67" s="5">
        <v>16</v>
      </c>
      <c r="AJ67" s="5" t="s">
        <v>1918</v>
      </c>
      <c r="AK67" s="5" t="s">
        <v>1918</v>
      </c>
      <c r="AL67" s="5" t="s">
        <v>1918</v>
      </c>
      <c r="AM67" s="5" t="s">
        <v>1918</v>
      </c>
      <c r="AN67" s="5" t="s">
        <v>1918</v>
      </c>
      <c r="AO67" s="5" t="s">
        <v>1918</v>
      </c>
      <c r="AP67" s="5" t="s">
        <v>1918</v>
      </c>
      <c r="AQ67" s="5" t="s">
        <v>1918</v>
      </c>
      <c r="AR67" s="5" t="s">
        <v>1918</v>
      </c>
      <c r="AS67" s="5" t="s">
        <v>1918</v>
      </c>
      <c r="AT67" s="5" t="s">
        <v>2435</v>
      </c>
      <c r="AU67" s="5">
        <v>2021</v>
      </c>
      <c r="AV67" s="5">
        <v>23</v>
      </c>
      <c r="AW67" s="5">
        <v>1</v>
      </c>
      <c r="AX67" s="5" t="s">
        <v>1918</v>
      </c>
      <c r="AY67" s="5" t="s">
        <v>1918</v>
      </c>
      <c r="AZ67" s="5" t="s">
        <v>1918</v>
      </c>
      <c r="BA67" s="5" t="s">
        <v>1918</v>
      </c>
      <c r="BB67" s="5" t="s">
        <v>1918</v>
      </c>
      <c r="BC67" s="5" t="s">
        <v>1918</v>
      </c>
      <c r="BD67" s="5" t="s">
        <v>2436</v>
      </c>
      <c r="BE67" s="5" t="s">
        <v>2437</v>
      </c>
      <c r="BF67" s="5">
        <v>0</v>
      </c>
      <c r="BG67" s="5" t="s">
        <v>1918</v>
      </c>
      <c r="BH67" s="5" t="s">
        <v>1918</v>
      </c>
      <c r="BI67" s="5" t="s">
        <v>1918</v>
      </c>
      <c r="BJ67" s="5" t="s">
        <v>1918</v>
      </c>
      <c r="BK67" s="5" t="s">
        <v>1918</v>
      </c>
      <c r="BL67" s="5" t="s">
        <v>1918</v>
      </c>
      <c r="BM67" s="5" t="s">
        <v>1918</v>
      </c>
      <c r="BN67" s="5" t="s">
        <v>1918</v>
      </c>
      <c r="BO67" s="5" t="s">
        <v>1918</v>
      </c>
      <c r="BP67" s="5" t="s">
        <v>1918</v>
      </c>
      <c r="BQ67" s="5" t="s">
        <v>1918</v>
      </c>
      <c r="BR67" s="5" t="s">
        <v>1927</v>
      </c>
      <c r="BS67" s="5" t="s">
        <v>2438</v>
      </c>
      <c r="BT67" s="5">
        <v>0</v>
      </c>
      <c r="BU67">
        <f>COUNTIF('오픈소스&amp;직접수집'!F:F,'wos(corecollection)_260528'!BE67)</f>
        <v>0</v>
      </c>
      <c r="BV67">
        <f>COUNTIF('오픈소스&amp;직접수집'!A:A,'wos(corecollection)_260528'!I67)</f>
        <v>0</v>
      </c>
      <c r="BW67">
        <f t="shared" ref="BW67:BW93" si="1">SUM(BU67:BV67)</f>
        <v>0</v>
      </c>
    </row>
    <row r="68" spans="1:75" x14ac:dyDescent="0.3">
      <c r="A68" s="5" t="s">
        <v>2235</v>
      </c>
      <c r="B68" s="5" t="s">
        <v>2439</v>
      </c>
      <c r="C68" s="5" t="s">
        <v>1918</v>
      </c>
      <c r="D68" s="5" t="s">
        <v>1918</v>
      </c>
      <c r="E68" s="5" t="s">
        <v>1918</v>
      </c>
      <c r="F68" s="5" t="s">
        <v>2440</v>
      </c>
      <c r="G68" s="5" t="s">
        <v>1918</v>
      </c>
      <c r="H68" s="5" t="s">
        <v>1918</v>
      </c>
      <c r="I68" s="5" t="s">
        <v>2441</v>
      </c>
      <c r="J68" s="5" t="s">
        <v>2442</v>
      </c>
      <c r="K68" s="5" t="s">
        <v>1918</v>
      </c>
      <c r="L68" s="5" t="s">
        <v>1918</v>
      </c>
      <c r="M68" s="5" t="s">
        <v>1918</v>
      </c>
      <c r="N68" s="5" t="s">
        <v>1920</v>
      </c>
      <c r="O68" s="5" t="s">
        <v>1918</v>
      </c>
      <c r="P68" s="5" t="s">
        <v>1918</v>
      </c>
      <c r="Q68" s="5" t="s">
        <v>1918</v>
      </c>
      <c r="R68" s="5" t="s">
        <v>1918</v>
      </c>
      <c r="S68" s="5" t="s">
        <v>1918</v>
      </c>
      <c r="T68" s="5" t="s">
        <v>1918</v>
      </c>
      <c r="U68" s="5" t="s">
        <v>1918</v>
      </c>
      <c r="V68" s="5" t="s">
        <v>2443</v>
      </c>
      <c r="W68" s="5" t="s">
        <v>1918</v>
      </c>
      <c r="X68" s="5" t="s">
        <v>1918</v>
      </c>
      <c r="Y68" s="5" t="s">
        <v>1918</v>
      </c>
      <c r="Z68" s="5" t="s">
        <v>2444</v>
      </c>
      <c r="AA68" s="5" t="s">
        <v>1918</v>
      </c>
      <c r="AB68" s="5" t="s">
        <v>1918</v>
      </c>
      <c r="AC68" s="5" t="s">
        <v>1918</v>
      </c>
      <c r="AD68" s="5" t="s">
        <v>1918</v>
      </c>
      <c r="AE68" s="5" t="s">
        <v>1918</v>
      </c>
      <c r="AF68" s="5" t="s">
        <v>1918</v>
      </c>
      <c r="AG68" s="5">
        <v>24</v>
      </c>
      <c r="AH68" s="5">
        <v>1</v>
      </c>
      <c r="AI68" s="5">
        <v>1</v>
      </c>
      <c r="AJ68" s="5" t="s">
        <v>1918</v>
      </c>
      <c r="AK68" s="5" t="s">
        <v>1918</v>
      </c>
      <c r="AL68" s="5" t="s">
        <v>1918</v>
      </c>
      <c r="AM68" s="5" t="s">
        <v>1918</v>
      </c>
      <c r="AN68" s="5" t="s">
        <v>1918</v>
      </c>
      <c r="AO68" s="5" t="s">
        <v>1918</v>
      </c>
      <c r="AP68" s="5" t="s">
        <v>1918</v>
      </c>
      <c r="AQ68" s="5" t="s">
        <v>1918</v>
      </c>
      <c r="AR68" s="5" t="s">
        <v>1918</v>
      </c>
      <c r="AS68" s="5" t="s">
        <v>1918</v>
      </c>
      <c r="AT68" s="5" t="s">
        <v>1918</v>
      </c>
      <c r="AU68" s="5">
        <v>2021</v>
      </c>
      <c r="AV68" s="5">
        <v>18</v>
      </c>
      <c r="AW68" s="5">
        <v>1</v>
      </c>
      <c r="AX68" s="5" t="s">
        <v>1918</v>
      </c>
      <c r="AY68" s="5" t="s">
        <v>1918</v>
      </c>
      <c r="AZ68" s="5" t="s">
        <v>1918</v>
      </c>
      <c r="BA68" s="5" t="s">
        <v>1918</v>
      </c>
      <c r="BB68" s="5">
        <v>1</v>
      </c>
      <c r="BC68" s="5">
        <v>30</v>
      </c>
      <c r="BD68" s="5" t="s">
        <v>1918</v>
      </c>
      <c r="BE68" s="5" t="s">
        <v>2445</v>
      </c>
      <c r="BF68" s="5">
        <v>0</v>
      </c>
      <c r="BG68" s="5" t="s">
        <v>1918</v>
      </c>
      <c r="BH68" s="5" t="s">
        <v>1918</v>
      </c>
      <c r="BI68" s="5" t="s">
        <v>1918</v>
      </c>
      <c r="BJ68" s="5" t="s">
        <v>1918</v>
      </c>
      <c r="BK68" s="5" t="s">
        <v>1918</v>
      </c>
      <c r="BL68" s="5" t="s">
        <v>1918</v>
      </c>
      <c r="BM68" s="5" t="s">
        <v>1918</v>
      </c>
      <c r="BN68" s="5" t="s">
        <v>1918</v>
      </c>
      <c r="BO68" s="5" t="s">
        <v>1918</v>
      </c>
      <c r="BP68" s="5" t="s">
        <v>1918</v>
      </c>
      <c r="BQ68" s="5" t="s">
        <v>1918</v>
      </c>
      <c r="BR68" s="5" t="s">
        <v>1927</v>
      </c>
      <c r="BS68" s="5" t="s">
        <v>2446</v>
      </c>
      <c r="BT68" s="5">
        <v>0</v>
      </c>
      <c r="BU68">
        <f>COUNTIF('오픈소스&amp;직접수집'!F:F,'wos(corecollection)_260528'!BE68)</f>
        <v>0</v>
      </c>
      <c r="BV68">
        <f>COUNTIF('오픈소스&amp;직접수집'!A:A,'wos(corecollection)_260528'!I68)</f>
        <v>0</v>
      </c>
      <c r="BW68">
        <f t="shared" si="1"/>
        <v>0</v>
      </c>
    </row>
    <row r="69" spans="1:75" x14ac:dyDescent="0.3">
      <c r="A69" s="5" t="s">
        <v>2235</v>
      </c>
      <c r="B69" s="5" t="s">
        <v>2447</v>
      </c>
      <c r="C69" s="5" t="s">
        <v>1918</v>
      </c>
      <c r="D69" s="5" t="s">
        <v>1918</v>
      </c>
      <c r="E69" s="5" t="s">
        <v>1918</v>
      </c>
      <c r="F69" s="5" t="s">
        <v>2448</v>
      </c>
      <c r="G69" s="5" t="s">
        <v>1918</v>
      </c>
      <c r="H69" s="5" t="s">
        <v>1918</v>
      </c>
      <c r="I69" s="5" t="s">
        <v>2449</v>
      </c>
      <c r="J69" s="5" t="s">
        <v>2450</v>
      </c>
      <c r="K69" s="5" t="s">
        <v>1918</v>
      </c>
      <c r="L69" s="5" t="s">
        <v>1918</v>
      </c>
      <c r="M69" s="5" t="s">
        <v>1918</v>
      </c>
      <c r="N69" s="5" t="s">
        <v>1920</v>
      </c>
      <c r="O69" s="5" t="s">
        <v>1918</v>
      </c>
      <c r="P69" s="5" t="s">
        <v>1918</v>
      </c>
      <c r="Q69" s="5" t="s">
        <v>1918</v>
      </c>
      <c r="R69" s="5" t="s">
        <v>1918</v>
      </c>
      <c r="S69" s="5" t="s">
        <v>1918</v>
      </c>
      <c r="T69" s="5" t="s">
        <v>1918</v>
      </c>
      <c r="U69" s="5" t="s">
        <v>1918</v>
      </c>
      <c r="V69" s="5" t="s">
        <v>2451</v>
      </c>
      <c r="W69" s="5" t="s">
        <v>2452</v>
      </c>
      <c r="X69" s="5" t="s">
        <v>1918</v>
      </c>
      <c r="Y69" s="5" t="s">
        <v>2453</v>
      </c>
      <c r="Z69" s="5" t="s">
        <v>2454</v>
      </c>
      <c r="AA69" s="5" t="s">
        <v>1918</v>
      </c>
      <c r="AB69" s="5" t="s">
        <v>1918</v>
      </c>
      <c r="AC69" s="5" t="s">
        <v>1918</v>
      </c>
      <c r="AD69" s="5" t="s">
        <v>1918</v>
      </c>
      <c r="AE69" s="5" t="s">
        <v>1918</v>
      </c>
      <c r="AF69" s="5" t="s">
        <v>1918</v>
      </c>
      <c r="AG69" s="5">
        <v>136</v>
      </c>
      <c r="AH69" s="5">
        <v>108</v>
      </c>
      <c r="AI69" s="5">
        <v>124</v>
      </c>
      <c r="AJ69" s="5" t="s">
        <v>1918</v>
      </c>
      <c r="AK69" s="5" t="s">
        <v>1918</v>
      </c>
      <c r="AL69" s="5" t="s">
        <v>1918</v>
      </c>
      <c r="AM69" s="5" t="s">
        <v>1918</v>
      </c>
      <c r="AN69" s="5" t="s">
        <v>1918</v>
      </c>
      <c r="AO69" s="5" t="s">
        <v>1918</v>
      </c>
      <c r="AP69" s="5" t="s">
        <v>1918</v>
      </c>
      <c r="AQ69" s="5" t="s">
        <v>1918</v>
      </c>
      <c r="AR69" s="5" t="s">
        <v>1918</v>
      </c>
      <c r="AS69" s="5" t="s">
        <v>1918</v>
      </c>
      <c r="AT69" s="5" t="s">
        <v>2033</v>
      </c>
      <c r="AU69" s="5">
        <v>2020</v>
      </c>
      <c r="AV69" s="5">
        <v>88</v>
      </c>
      <c r="AW69" s="5" t="s">
        <v>1918</v>
      </c>
      <c r="AX69" s="5" t="s">
        <v>1918</v>
      </c>
      <c r="AY69" s="5" t="s">
        <v>1918</v>
      </c>
      <c r="AZ69" s="5" t="s">
        <v>1918</v>
      </c>
      <c r="BA69" s="5" t="s">
        <v>1918</v>
      </c>
      <c r="BB69" s="5" t="s">
        <v>1918</v>
      </c>
      <c r="BC69" s="5" t="s">
        <v>1918</v>
      </c>
      <c r="BD69" s="5">
        <v>102553</v>
      </c>
      <c r="BE69" s="5" t="s">
        <v>2455</v>
      </c>
      <c r="BF69" s="5">
        <v>0</v>
      </c>
      <c r="BG69" s="5" t="s">
        <v>1918</v>
      </c>
      <c r="BH69" s="5" t="s">
        <v>1918</v>
      </c>
      <c r="BI69" s="5" t="s">
        <v>1918</v>
      </c>
      <c r="BJ69" s="5" t="s">
        <v>1918</v>
      </c>
      <c r="BK69" s="5" t="s">
        <v>1918</v>
      </c>
      <c r="BL69" s="5" t="s">
        <v>1918</v>
      </c>
      <c r="BM69" s="5" t="s">
        <v>1918</v>
      </c>
      <c r="BN69" s="5" t="s">
        <v>1918</v>
      </c>
      <c r="BO69" s="5" t="s">
        <v>1918</v>
      </c>
      <c r="BP69" s="5" t="s">
        <v>1918</v>
      </c>
      <c r="BQ69" s="5" t="s">
        <v>1918</v>
      </c>
      <c r="BR69" s="5" t="s">
        <v>1927</v>
      </c>
      <c r="BS69" s="5" t="s">
        <v>2456</v>
      </c>
      <c r="BT69" s="5">
        <v>0</v>
      </c>
      <c r="BU69">
        <f>COUNTIF('오픈소스&amp;직접수집'!F:F,'wos(corecollection)_260528'!BE69)</f>
        <v>0</v>
      </c>
      <c r="BV69">
        <f>COUNTIF('오픈소스&amp;직접수집'!A:A,'wos(corecollection)_260528'!I69)</f>
        <v>0</v>
      </c>
      <c r="BW69">
        <f t="shared" si="1"/>
        <v>0</v>
      </c>
    </row>
    <row r="70" spans="1:75" x14ac:dyDescent="0.3">
      <c r="A70" s="5" t="s">
        <v>2235</v>
      </c>
      <c r="B70" s="5" t="s">
        <v>2457</v>
      </c>
      <c r="C70" s="5" t="s">
        <v>1918</v>
      </c>
      <c r="D70" s="5" t="s">
        <v>1918</v>
      </c>
      <c r="E70" s="5" t="s">
        <v>1918</v>
      </c>
      <c r="F70" s="5" t="s">
        <v>2458</v>
      </c>
      <c r="G70" s="5" t="s">
        <v>1918</v>
      </c>
      <c r="H70" s="5" t="s">
        <v>1918</v>
      </c>
      <c r="I70" s="5" t="s">
        <v>2459</v>
      </c>
      <c r="J70" s="5" t="s">
        <v>2018</v>
      </c>
      <c r="K70" s="5" t="s">
        <v>1918</v>
      </c>
      <c r="L70" s="5" t="s">
        <v>1918</v>
      </c>
      <c r="M70" s="5" t="s">
        <v>1918</v>
      </c>
      <c r="N70" s="5" t="s">
        <v>1920</v>
      </c>
      <c r="O70" s="5" t="s">
        <v>1918</v>
      </c>
      <c r="P70" s="5" t="s">
        <v>1918</v>
      </c>
      <c r="Q70" s="5" t="s">
        <v>1918</v>
      </c>
      <c r="R70" s="5" t="s">
        <v>1918</v>
      </c>
      <c r="S70" s="5" t="s">
        <v>1918</v>
      </c>
      <c r="T70" s="5" t="s">
        <v>1918</v>
      </c>
      <c r="U70" s="5" t="s">
        <v>1918</v>
      </c>
      <c r="V70" s="5" t="s">
        <v>2460</v>
      </c>
      <c r="W70" s="5" t="s">
        <v>2461</v>
      </c>
      <c r="X70" s="5" t="s">
        <v>1918</v>
      </c>
      <c r="Y70" s="5" t="s">
        <v>2462</v>
      </c>
      <c r="Z70" s="5" t="s">
        <v>2463</v>
      </c>
      <c r="AA70" s="5" t="s">
        <v>1918</v>
      </c>
      <c r="AB70" s="5" t="s">
        <v>1918</v>
      </c>
      <c r="AC70" s="5" t="s">
        <v>1918</v>
      </c>
      <c r="AD70" s="5" t="s">
        <v>1918</v>
      </c>
      <c r="AE70" s="5" t="s">
        <v>1918</v>
      </c>
      <c r="AF70" s="5" t="s">
        <v>1918</v>
      </c>
      <c r="AG70" s="5">
        <v>53</v>
      </c>
      <c r="AH70" s="5">
        <v>2</v>
      </c>
      <c r="AI70" s="5">
        <v>5</v>
      </c>
      <c r="AJ70" s="5" t="s">
        <v>1918</v>
      </c>
      <c r="AK70" s="5" t="s">
        <v>1918</v>
      </c>
      <c r="AL70" s="5" t="s">
        <v>1918</v>
      </c>
      <c r="AM70" s="5" t="s">
        <v>1918</v>
      </c>
      <c r="AN70" s="5" t="s">
        <v>1918</v>
      </c>
      <c r="AO70" s="5" t="s">
        <v>1918</v>
      </c>
      <c r="AP70" s="5" t="s">
        <v>1918</v>
      </c>
      <c r="AQ70" s="5" t="s">
        <v>1918</v>
      </c>
      <c r="AR70" s="5" t="s">
        <v>1918</v>
      </c>
      <c r="AS70" s="5" t="s">
        <v>1918</v>
      </c>
      <c r="AT70" s="5" t="s">
        <v>2033</v>
      </c>
      <c r="AU70" s="5">
        <v>2020</v>
      </c>
      <c r="AV70" s="5">
        <v>12</v>
      </c>
      <c r="AW70" s="5">
        <v>22</v>
      </c>
      <c r="AX70" s="5" t="s">
        <v>1918</v>
      </c>
      <c r="AY70" s="5" t="s">
        <v>1918</v>
      </c>
      <c r="AZ70" s="5" t="s">
        <v>1918</v>
      </c>
      <c r="BA70" s="5" t="s">
        <v>1918</v>
      </c>
      <c r="BB70" s="5" t="s">
        <v>1918</v>
      </c>
      <c r="BC70" s="5" t="s">
        <v>1918</v>
      </c>
      <c r="BD70" s="5">
        <v>9526</v>
      </c>
      <c r="BE70" s="5" t="s">
        <v>2464</v>
      </c>
      <c r="BF70" s="5">
        <v>0</v>
      </c>
      <c r="BG70" s="5" t="s">
        <v>1918</v>
      </c>
      <c r="BH70" s="5" t="s">
        <v>1918</v>
      </c>
      <c r="BI70" s="5" t="s">
        <v>1918</v>
      </c>
      <c r="BJ70" s="5" t="s">
        <v>1918</v>
      </c>
      <c r="BK70" s="5" t="s">
        <v>1918</v>
      </c>
      <c r="BL70" s="5" t="s">
        <v>1918</v>
      </c>
      <c r="BM70" s="5" t="s">
        <v>1918</v>
      </c>
      <c r="BN70" s="5" t="s">
        <v>1918</v>
      </c>
      <c r="BO70" s="5" t="s">
        <v>1918</v>
      </c>
      <c r="BP70" s="5" t="s">
        <v>1918</v>
      </c>
      <c r="BQ70" s="5" t="s">
        <v>1918</v>
      </c>
      <c r="BR70" s="5" t="s">
        <v>1927</v>
      </c>
      <c r="BS70" s="5" t="s">
        <v>2465</v>
      </c>
      <c r="BT70" s="5">
        <v>0</v>
      </c>
      <c r="BU70">
        <f>COUNTIF('오픈소스&amp;직접수집'!F:F,'wos(corecollection)_260528'!BE70)</f>
        <v>0</v>
      </c>
      <c r="BV70">
        <f>COUNTIF('오픈소스&amp;직접수집'!A:A,'wos(corecollection)_260528'!I70)</f>
        <v>0</v>
      </c>
      <c r="BW70">
        <f t="shared" si="1"/>
        <v>0</v>
      </c>
    </row>
    <row r="71" spans="1:75" x14ac:dyDescent="0.3">
      <c r="A71" s="5" t="s">
        <v>2235</v>
      </c>
      <c r="B71" s="5" t="s">
        <v>2272</v>
      </c>
      <c r="C71" s="5" t="s">
        <v>1918</v>
      </c>
      <c r="D71" s="5" t="s">
        <v>1918</v>
      </c>
      <c r="E71" s="5" t="s">
        <v>1918</v>
      </c>
      <c r="F71" s="5" t="s">
        <v>2273</v>
      </c>
      <c r="G71" s="5" t="s">
        <v>1918</v>
      </c>
      <c r="H71" s="5" t="s">
        <v>1918</v>
      </c>
      <c r="I71" s="5" t="s">
        <v>2466</v>
      </c>
      <c r="J71" s="5" t="s">
        <v>2467</v>
      </c>
      <c r="K71" s="5" t="s">
        <v>1918</v>
      </c>
      <c r="L71" s="5" t="s">
        <v>1918</v>
      </c>
      <c r="M71" s="5" t="s">
        <v>1918</v>
      </c>
      <c r="N71" s="5" t="s">
        <v>1920</v>
      </c>
      <c r="O71" s="5" t="s">
        <v>1918</v>
      </c>
      <c r="P71" s="5" t="s">
        <v>1918</v>
      </c>
      <c r="Q71" s="5" t="s">
        <v>1918</v>
      </c>
      <c r="R71" s="5" t="s">
        <v>1918</v>
      </c>
      <c r="S71" s="5" t="s">
        <v>1918</v>
      </c>
      <c r="T71" s="5" t="s">
        <v>1918</v>
      </c>
      <c r="U71" s="5" t="s">
        <v>1918</v>
      </c>
      <c r="V71" s="5" t="s">
        <v>2468</v>
      </c>
      <c r="W71" s="5" t="s">
        <v>2469</v>
      </c>
      <c r="X71" s="5" t="s">
        <v>1918</v>
      </c>
      <c r="Y71" s="5" t="s">
        <v>2470</v>
      </c>
      <c r="Z71" s="5" t="s">
        <v>2278</v>
      </c>
      <c r="AA71" s="5" t="s">
        <v>1918</v>
      </c>
      <c r="AB71" s="5" t="s">
        <v>1918</v>
      </c>
      <c r="AC71" s="5" t="s">
        <v>1918</v>
      </c>
      <c r="AD71" s="5" t="s">
        <v>1918</v>
      </c>
      <c r="AE71" s="5" t="s">
        <v>1918</v>
      </c>
      <c r="AF71" s="5" t="s">
        <v>1918</v>
      </c>
      <c r="AG71" s="5">
        <v>136</v>
      </c>
      <c r="AH71" s="5">
        <v>7</v>
      </c>
      <c r="AI71" s="5">
        <v>7</v>
      </c>
      <c r="AJ71" s="5" t="s">
        <v>1918</v>
      </c>
      <c r="AK71" s="5" t="s">
        <v>1918</v>
      </c>
      <c r="AL71" s="5" t="s">
        <v>1918</v>
      </c>
      <c r="AM71" s="5" t="s">
        <v>1918</v>
      </c>
      <c r="AN71" s="5" t="s">
        <v>1918</v>
      </c>
      <c r="AO71" s="5" t="s">
        <v>1918</v>
      </c>
      <c r="AP71" s="5" t="s">
        <v>1918</v>
      </c>
      <c r="AQ71" s="5" t="s">
        <v>1918</v>
      </c>
      <c r="AR71" s="5" t="s">
        <v>1918</v>
      </c>
      <c r="AS71" s="5" t="s">
        <v>1918</v>
      </c>
      <c r="AT71" s="5" t="s">
        <v>2471</v>
      </c>
      <c r="AU71" s="5">
        <v>2020</v>
      </c>
      <c r="AV71" s="5">
        <v>2020</v>
      </c>
      <c r="AW71" s="5" t="s">
        <v>1918</v>
      </c>
      <c r="AX71" s="5" t="s">
        <v>1918</v>
      </c>
      <c r="AY71" s="5" t="s">
        <v>1918</v>
      </c>
      <c r="AZ71" s="5" t="s">
        <v>1918</v>
      </c>
      <c r="BA71" s="5" t="s">
        <v>1918</v>
      </c>
      <c r="BB71" s="5" t="s">
        <v>1918</v>
      </c>
      <c r="BC71" s="5" t="s">
        <v>1918</v>
      </c>
      <c r="BD71" s="5">
        <v>6262519</v>
      </c>
      <c r="BE71" s="5" t="s">
        <v>2472</v>
      </c>
      <c r="BF71" s="5">
        <v>0</v>
      </c>
      <c r="BG71" s="5" t="s">
        <v>1918</v>
      </c>
      <c r="BH71" s="5" t="s">
        <v>1918</v>
      </c>
      <c r="BI71" s="5" t="s">
        <v>1918</v>
      </c>
      <c r="BJ71" s="5" t="s">
        <v>1918</v>
      </c>
      <c r="BK71" s="5" t="s">
        <v>1918</v>
      </c>
      <c r="BL71" s="5" t="s">
        <v>1918</v>
      </c>
      <c r="BM71" s="5" t="s">
        <v>1918</v>
      </c>
      <c r="BN71" s="5" t="s">
        <v>1918</v>
      </c>
      <c r="BO71" s="5" t="s">
        <v>1918</v>
      </c>
      <c r="BP71" s="5" t="s">
        <v>1918</v>
      </c>
      <c r="BQ71" s="5" t="s">
        <v>1918</v>
      </c>
      <c r="BR71" s="5" t="s">
        <v>1927</v>
      </c>
      <c r="BS71" s="5" t="s">
        <v>2473</v>
      </c>
      <c r="BT71" s="5">
        <v>0</v>
      </c>
      <c r="BU71">
        <f>COUNTIF('오픈소스&amp;직접수집'!F:F,'wos(corecollection)_260528'!BE71)</f>
        <v>0</v>
      </c>
      <c r="BV71">
        <f>COUNTIF('오픈소스&amp;직접수집'!A:A,'wos(corecollection)_260528'!I71)</f>
        <v>0</v>
      </c>
      <c r="BW71">
        <f t="shared" si="1"/>
        <v>0</v>
      </c>
    </row>
    <row r="72" spans="1:75" x14ac:dyDescent="0.3">
      <c r="A72" s="5" t="s">
        <v>2235</v>
      </c>
      <c r="B72" s="5" t="s">
        <v>2474</v>
      </c>
      <c r="C72" s="5" t="s">
        <v>1918</v>
      </c>
      <c r="D72" s="5" t="s">
        <v>1918</v>
      </c>
      <c r="E72" s="5" t="s">
        <v>1918</v>
      </c>
      <c r="F72" s="5" t="s">
        <v>2475</v>
      </c>
      <c r="G72" s="5" t="s">
        <v>1918</v>
      </c>
      <c r="H72" s="5" t="s">
        <v>1918</v>
      </c>
      <c r="I72" s="5" t="s">
        <v>2476</v>
      </c>
      <c r="J72" s="5" t="s">
        <v>2477</v>
      </c>
      <c r="K72" s="5" t="s">
        <v>1918</v>
      </c>
      <c r="L72" s="5" t="s">
        <v>1918</v>
      </c>
      <c r="M72" s="5" t="s">
        <v>1918</v>
      </c>
      <c r="N72" s="5" t="s">
        <v>1920</v>
      </c>
      <c r="O72" s="5" t="s">
        <v>1918</v>
      </c>
      <c r="P72" s="5" t="s">
        <v>1918</v>
      </c>
      <c r="Q72" s="5" t="s">
        <v>1918</v>
      </c>
      <c r="R72" s="5" t="s">
        <v>1918</v>
      </c>
      <c r="S72" s="5" t="s">
        <v>1918</v>
      </c>
      <c r="T72" s="5" t="s">
        <v>1918</v>
      </c>
      <c r="U72" s="5" t="s">
        <v>1918</v>
      </c>
      <c r="V72" s="5" t="s">
        <v>2478</v>
      </c>
      <c r="W72" s="5" t="s">
        <v>2479</v>
      </c>
      <c r="X72" s="5" t="s">
        <v>1918</v>
      </c>
      <c r="Y72" s="5" t="s">
        <v>2480</v>
      </c>
      <c r="Z72" s="5" t="s">
        <v>2481</v>
      </c>
      <c r="AA72" s="5" t="s">
        <v>1918</v>
      </c>
      <c r="AB72" s="5" t="s">
        <v>1918</v>
      </c>
      <c r="AC72" s="5" t="s">
        <v>1918</v>
      </c>
      <c r="AD72" s="5" t="s">
        <v>1918</v>
      </c>
      <c r="AE72" s="5" t="s">
        <v>1918</v>
      </c>
      <c r="AF72" s="5" t="s">
        <v>1918</v>
      </c>
      <c r="AG72" s="5">
        <v>48</v>
      </c>
      <c r="AH72" s="5">
        <v>15</v>
      </c>
      <c r="AI72" s="5">
        <v>15</v>
      </c>
      <c r="AJ72" s="5" t="s">
        <v>1918</v>
      </c>
      <c r="AK72" s="5" t="s">
        <v>1918</v>
      </c>
      <c r="AL72" s="5" t="s">
        <v>1918</v>
      </c>
      <c r="AM72" s="5" t="s">
        <v>1918</v>
      </c>
      <c r="AN72" s="5" t="s">
        <v>1918</v>
      </c>
      <c r="AO72" s="5" t="s">
        <v>1918</v>
      </c>
      <c r="AP72" s="5" t="s">
        <v>1918</v>
      </c>
      <c r="AQ72" s="5" t="s">
        <v>1918</v>
      </c>
      <c r="AR72" s="5" t="s">
        <v>1918</v>
      </c>
      <c r="AS72" s="5" t="s">
        <v>1918</v>
      </c>
      <c r="AT72" s="5" t="s">
        <v>2139</v>
      </c>
      <c r="AU72" s="5">
        <v>2020</v>
      </c>
      <c r="AV72" s="5">
        <v>22</v>
      </c>
      <c r="AW72" s="5">
        <v>4</v>
      </c>
      <c r="AX72" s="5" t="s">
        <v>1918</v>
      </c>
      <c r="AY72" s="5" t="s">
        <v>1918</v>
      </c>
      <c r="AZ72" s="5" t="s">
        <v>1918</v>
      </c>
      <c r="BA72" s="5" t="s">
        <v>1918</v>
      </c>
      <c r="BB72" s="5">
        <v>416</v>
      </c>
      <c r="BC72" s="5">
        <v>424</v>
      </c>
      <c r="BD72" s="5" t="s">
        <v>1918</v>
      </c>
      <c r="BE72" s="5" t="s">
        <v>2482</v>
      </c>
      <c r="BF72" s="5">
        <v>0</v>
      </c>
      <c r="BG72" s="5" t="s">
        <v>1918</v>
      </c>
      <c r="BH72" s="5" t="s">
        <v>2483</v>
      </c>
      <c r="BI72" s="5" t="s">
        <v>1918</v>
      </c>
      <c r="BJ72" s="5" t="s">
        <v>1918</v>
      </c>
      <c r="BK72" s="5" t="s">
        <v>1918</v>
      </c>
      <c r="BL72" s="5" t="s">
        <v>1918</v>
      </c>
      <c r="BM72" s="5" t="s">
        <v>1918</v>
      </c>
      <c r="BN72" s="5" t="s">
        <v>1918</v>
      </c>
      <c r="BO72" s="5" t="s">
        <v>1918</v>
      </c>
      <c r="BP72" s="5" t="s">
        <v>1918</v>
      </c>
      <c r="BQ72" s="5" t="s">
        <v>1918</v>
      </c>
      <c r="BR72" s="5" t="s">
        <v>1927</v>
      </c>
      <c r="BS72" s="5" t="s">
        <v>2484</v>
      </c>
      <c r="BT72" s="5">
        <v>0</v>
      </c>
      <c r="BU72">
        <f>COUNTIF('오픈소스&amp;직접수집'!F:F,'wos(corecollection)_260528'!BE72)</f>
        <v>0</v>
      </c>
      <c r="BV72">
        <f>COUNTIF('오픈소스&amp;직접수집'!A:A,'wos(corecollection)_260528'!I72)</f>
        <v>0</v>
      </c>
      <c r="BW72">
        <f t="shared" si="1"/>
        <v>0</v>
      </c>
    </row>
    <row r="73" spans="1:75" x14ac:dyDescent="0.3">
      <c r="A73" s="5" t="s">
        <v>2235</v>
      </c>
      <c r="B73" s="5" t="s">
        <v>2485</v>
      </c>
      <c r="C73" s="5" t="s">
        <v>1918</v>
      </c>
      <c r="D73" s="5" t="s">
        <v>1918</v>
      </c>
      <c r="E73" s="5" t="s">
        <v>1918</v>
      </c>
      <c r="F73" s="5" t="s">
        <v>2486</v>
      </c>
      <c r="G73" s="5" t="s">
        <v>1918</v>
      </c>
      <c r="H73" s="5" t="s">
        <v>1918</v>
      </c>
      <c r="I73" s="5" t="s">
        <v>2487</v>
      </c>
      <c r="J73" s="5" t="s">
        <v>2018</v>
      </c>
      <c r="K73" s="5" t="s">
        <v>1918</v>
      </c>
      <c r="L73" s="5" t="s">
        <v>1918</v>
      </c>
      <c r="M73" s="5" t="s">
        <v>1918</v>
      </c>
      <c r="N73" s="5" t="s">
        <v>1920</v>
      </c>
      <c r="O73" s="5" t="s">
        <v>1918</v>
      </c>
      <c r="P73" s="5" t="s">
        <v>1918</v>
      </c>
      <c r="Q73" s="5" t="s">
        <v>1918</v>
      </c>
      <c r="R73" s="5" t="s">
        <v>1918</v>
      </c>
      <c r="S73" s="5" t="s">
        <v>1918</v>
      </c>
      <c r="T73" s="5" t="s">
        <v>1918</v>
      </c>
      <c r="U73" s="5" t="s">
        <v>1918</v>
      </c>
      <c r="V73" s="5" t="s">
        <v>2488</v>
      </c>
      <c r="W73" s="5" t="s">
        <v>2489</v>
      </c>
      <c r="X73" s="5" t="s">
        <v>1918</v>
      </c>
      <c r="Y73" s="5" t="s">
        <v>2490</v>
      </c>
      <c r="Z73" s="5" t="s">
        <v>2491</v>
      </c>
      <c r="AA73" s="5" t="s">
        <v>1918</v>
      </c>
      <c r="AB73" s="5" t="s">
        <v>1918</v>
      </c>
      <c r="AC73" s="5" t="s">
        <v>1918</v>
      </c>
      <c r="AD73" s="5" t="s">
        <v>1918</v>
      </c>
      <c r="AE73" s="5" t="s">
        <v>1918</v>
      </c>
      <c r="AF73" s="5" t="s">
        <v>1918</v>
      </c>
      <c r="AG73" s="5">
        <v>49</v>
      </c>
      <c r="AH73" s="5">
        <v>5</v>
      </c>
      <c r="AI73" s="5">
        <v>7</v>
      </c>
      <c r="AJ73" s="5" t="s">
        <v>1918</v>
      </c>
      <c r="AK73" s="5" t="s">
        <v>1918</v>
      </c>
      <c r="AL73" s="5" t="s">
        <v>1918</v>
      </c>
      <c r="AM73" s="5" t="s">
        <v>1918</v>
      </c>
      <c r="AN73" s="5" t="s">
        <v>1918</v>
      </c>
      <c r="AO73" s="5" t="s">
        <v>1918</v>
      </c>
      <c r="AP73" s="5" t="s">
        <v>1918</v>
      </c>
      <c r="AQ73" s="5" t="s">
        <v>1918</v>
      </c>
      <c r="AR73" s="5" t="s">
        <v>1918</v>
      </c>
      <c r="AS73" s="5" t="s">
        <v>1918</v>
      </c>
      <c r="AT73" s="5" t="s">
        <v>2492</v>
      </c>
      <c r="AU73" s="5">
        <v>2019</v>
      </c>
      <c r="AV73" s="5">
        <v>11</v>
      </c>
      <c r="AW73" s="5">
        <v>15</v>
      </c>
      <c r="AX73" s="5" t="s">
        <v>1918</v>
      </c>
      <c r="AY73" s="5" t="s">
        <v>1918</v>
      </c>
      <c r="AZ73" s="5" t="s">
        <v>1918</v>
      </c>
      <c r="BA73" s="5" t="s">
        <v>1918</v>
      </c>
      <c r="BB73" s="5" t="s">
        <v>1918</v>
      </c>
      <c r="BC73" s="5" t="s">
        <v>1918</v>
      </c>
      <c r="BD73" s="5">
        <v>4185</v>
      </c>
      <c r="BE73" s="5" t="s">
        <v>2493</v>
      </c>
      <c r="BF73" s="5">
        <v>0</v>
      </c>
      <c r="BG73" s="5" t="s">
        <v>1918</v>
      </c>
      <c r="BH73" s="5" t="s">
        <v>1918</v>
      </c>
      <c r="BI73" s="5" t="s">
        <v>1918</v>
      </c>
      <c r="BJ73" s="5" t="s">
        <v>1918</v>
      </c>
      <c r="BK73" s="5" t="s">
        <v>1918</v>
      </c>
      <c r="BL73" s="5" t="s">
        <v>1918</v>
      </c>
      <c r="BM73" s="5" t="s">
        <v>1918</v>
      </c>
      <c r="BN73" s="5" t="s">
        <v>1918</v>
      </c>
      <c r="BO73" s="5" t="s">
        <v>1918</v>
      </c>
      <c r="BP73" s="5" t="s">
        <v>1918</v>
      </c>
      <c r="BQ73" s="5" t="s">
        <v>1918</v>
      </c>
      <c r="BR73" s="5" t="s">
        <v>1927</v>
      </c>
      <c r="BS73" s="5" t="s">
        <v>2494</v>
      </c>
      <c r="BT73" s="5">
        <v>0</v>
      </c>
      <c r="BU73">
        <f>COUNTIF('오픈소스&amp;직접수집'!F:F,'wos(corecollection)_260528'!BE73)</f>
        <v>0</v>
      </c>
      <c r="BV73">
        <f>COUNTIF('오픈소스&amp;직접수집'!A:A,'wos(corecollection)_260528'!I73)</f>
        <v>0</v>
      </c>
      <c r="BW73">
        <f t="shared" si="1"/>
        <v>0</v>
      </c>
    </row>
    <row r="74" spans="1:75" x14ac:dyDescent="0.3">
      <c r="A74" s="5" t="s">
        <v>2235</v>
      </c>
      <c r="B74" s="5" t="s">
        <v>2495</v>
      </c>
      <c r="C74" s="5" t="s">
        <v>1918</v>
      </c>
      <c r="D74" s="5" t="s">
        <v>1918</v>
      </c>
      <c r="E74" s="5" t="s">
        <v>1918</v>
      </c>
      <c r="F74" s="5" t="s">
        <v>2496</v>
      </c>
      <c r="G74" s="5" t="s">
        <v>1918</v>
      </c>
      <c r="H74" s="5" t="s">
        <v>1918</v>
      </c>
      <c r="I74" s="5" t="s">
        <v>2497</v>
      </c>
      <c r="J74" s="5" t="s">
        <v>2498</v>
      </c>
      <c r="K74" s="5" t="s">
        <v>1918</v>
      </c>
      <c r="L74" s="5" t="s">
        <v>1918</v>
      </c>
      <c r="M74" s="5" t="s">
        <v>1918</v>
      </c>
      <c r="N74" s="5" t="s">
        <v>1920</v>
      </c>
      <c r="O74" s="5" t="s">
        <v>1918</v>
      </c>
      <c r="P74" s="5" t="s">
        <v>1918</v>
      </c>
      <c r="Q74" s="5" t="s">
        <v>1918</v>
      </c>
      <c r="R74" s="5" t="s">
        <v>1918</v>
      </c>
      <c r="S74" s="5" t="s">
        <v>1918</v>
      </c>
      <c r="T74" s="5" t="s">
        <v>1918</v>
      </c>
      <c r="U74" s="5" t="s">
        <v>1918</v>
      </c>
      <c r="V74" s="5" t="s">
        <v>2499</v>
      </c>
      <c r="W74" s="5" t="s">
        <v>2500</v>
      </c>
      <c r="X74" s="5" t="s">
        <v>1918</v>
      </c>
      <c r="Y74" s="5" t="s">
        <v>2501</v>
      </c>
      <c r="Z74" s="5" t="s">
        <v>2502</v>
      </c>
      <c r="AA74" s="5" t="s">
        <v>1918</v>
      </c>
      <c r="AB74" s="5" t="s">
        <v>1918</v>
      </c>
      <c r="AC74" s="5" t="s">
        <v>1918</v>
      </c>
      <c r="AD74" s="5" t="s">
        <v>1918</v>
      </c>
      <c r="AE74" s="5" t="s">
        <v>1918</v>
      </c>
      <c r="AF74" s="5" t="s">
        <v>1918</v>
      </c>
      <c r="AG74" s="5">
        <v>55</v>
      </c>
      <c r="AH74" s="5">
        <v>18</v>
      </c>
      <c r="AI74" s="5">
        <v>20</v>
      </c>
      <c r="AJ74" s="5" t="s">
        <v>1918</v>
      </c>
      <c r="AK74" s="5" t="s">
        <v>1918</v>
      </c>
      <c r="AL74" s="5" t="s">
        <v>1918</v>
      </c>
      <c r="AM74" s="5" t="s">
        <v>1918</v>
      </c>
      <c r="AN74" s="5" t="s">
        <v>1918</v>
      </c>
      <c r="AO74" s="5" t="s">
        <v>1918</v>
      </c>
      <c r="AP74" s="5" t="s">
        <v>1918</v>
      </c>
      <c r="AQ74" s="5" t="s">
        <v>1918</v>
      </c>
      <c r="AR74" s="5" t="s">
        <v>1918</v>
      </c>
      <c r="AS74" s="5" t="s">
        <v>1918</v>
      </c>
      <c r="AT74" s="5" t="s">
        <v>1918</v>
      </c>
      <c r="AU74" s="5">
        <v>2017</v>
      </c>
      <c r="AV74" s="5">
        <v>55</v>
      </c>
      <c r="AW74" s="5">
        <v>17</v>
      </c>
      <c r="AX74" s="5" t="s">
        <v>1918</v>
      </c>
      <c r="AY74" s="5" t="s">
        <v>1918</v>
      </c>
      <c r="AZ74" s="5" t="s">
        <v>1918</v>
      </c>
      <c r="BA74" s="5" t="s">
        <v>1918</v>
      </c>
      <c r="BB74" s="5">
        <v>5037</v>
      </c>
      <c r="BC74" s="5">
        <v>5049</v>
      </c>
      <c r="BD74" s="5" t="s">
        <v>1918</v>
      </c>
      <c r="BE74" s="5" t="s">
        <v>2503</v>
      </c>
      <c r="BF74" s="5">
        <v>0</v>
      </c>
      <c r="BG74" s="5" t="s">
        <v>1918</v>
      </c>
      <c r="BH74" s="5" t="s">
        <v>1918</v>
      </c>
      <c r="BI74" s="5" t="s">
        <v>1918</v>
      </c>
      <c r="BJ74" s="5" t="s">
        <v>1918</v>
      </c>
      <c r="BK74" s="5" t="s">
        <v>1918</v>
      </c>
      <c r="BL74" s="5" t="s">
        <v>1918</v>
      </c>
      <c r="BM74" s="5" t="s">
        <v>1918</v>
      </c>
      <c r="BN74" s="5" t="s">
        <v>1918</v>
      </c>
      <c r="BO74" s="5" t="s">
        <v>1918</v>
      </c>
      <c r="BP74" s="5" t="s">
        <v>1918</v>
      </c>
      <c r="BQ74" s="5" t="s">
        <v>1918</v>
      </c>
      <c r="BR74" s="5" t="s">
        <v>1927</v>
      </c>
      <c r="BS74" s="5" t="s">
        <v>2504</v>
      </c>
      <c r="BT74" s="5">
        <v>0</v>
      </c>
      <c r="BU74">
        <f>COUNTIF('오픈소스&amp;직접수집'!F:F,'wos(corecollection)_260528'!BE74)</f>
        <v>0</v>
      </c>
      <c r="BV74">
        <f>COUNTIF('오픈소스&amp;직접수집'!A:A,'wos(corecollection)_260528'!I74)</f>
        <v>0</v>
      </c>
      <c r="BW74">
        <f t="shared" si="1"/>
        <v>0</v>
      </c>
    </row>
    <row r="75" spans="1:75" x14ac:dyDescent="0.3">
      <c r="A75" s="5" t="s">
        <v>2235</v>
      </c>
      <c r="B75" s="5" t="s">
        <v>2505</v>
      </c>
      <c r="C75" s="5" t="s">
        <v>1918</v>
      </c>
      <c r="D75" s="5" t="s">
        <v>1918</v>
      </c>
      <c r="E75" s="5" t="s">
        <v>1918</v>
      </c>
      <c r="F75" s="5" t="s">
        <v>2506</v>
      </c>
      <c r="G75" s="5" t="s">
        <v>1918</v>
      </c>
      <c r="H75" s="5" t="s">
        <v>1918</v>
      </c>
      <c r="I75" s="5" t="s">
        <v>2507</v>
      </c>
      <c r="J75" s="5" t="s">
        <v>2508</v>
      </c>
      <c r="K75" s="5" t="s">
        <v>1918</v>
      </c>
      <c r="L75" s="5" t="s">
        <v>1918</v>
      </c>
      <c r="M75" s="5" t="s">
        <v>1918</v>
      </c>
      <c r="N75" s="5" t="s">
        <v>1920</v>
      </c>
      <c r="O75" s="5" t="s">
        <v>1918</v>
      </c>
      <c r="P75" s="5" t="s">
        <v>1918</v>
      </c>
      <c r="Q75" s="5" t="s">
        <v>1918</v>
      </c>
      <c r="R75" s="5" t="s">
        <v>1918</v>
      </c>
      <c r="S75" s="5" t="s">
        <v>1918</v>
      </c>
      <c r="T75" s="5" t="s">
        <v>1918</v>
      </c>
      <c r="U75" s="5" t="s">
        <v>1918</v>
      </c>
      <c r="V75" s="5" t="s">
        <v>2509</v>
      </c>
      <c r="W75" s="5" t="s">
        <v>2510</v>
      </c>
      <c r="X75" s="5" t="s">
        <v>1918</v>
      </c>
      <c r="Y75" s="5" t="s">
        <v>2511</v>
      </c>
      <c r="Z75" s="5" t="s">
        <v>2512</v>
      </c>
      <c r="AA75" s="5" t="s">
        <v>1918</v>
      </c>
      <c r="AB75" s="5" t="s">
        <v>1918</v>
      </c>
      <c r="AC75" s="5" t="s">
        <v>1918</v>
      </c>
      <c r="AD75" s="5" t="s">
        <v>1918</v>
      </c>
      <c r="AE75" s="5" t="s">
        <v>1918</v>
      </c>
      <c r="AF75" s="5" t="s">
        <v>1918</v>
      </c>
      <c r="AG75" s="5">
        <v>43</v>
      </c>
      <c r="AH75" s="5">
        <v>4</v>
      </c>
      <c r="AI75" s="5">
        <v>4</v>
      </c>
      <c r="AJ75" s="5" t="s">
        <v>1918</v>
      </c>
      <c r="AK75" s="5" t="s">
        <v>1918</v>
      </c>
      <c r="AL75" s="5" t="s">
        <v>1918</v>
      </c>
      <c r="AM75" s="5" t="s">
        <v>1918</v>
      </c>
      <c r="AN75" s="5" t="s">
        <v>1918</v>
      </c>
      <c r="AO75" s="5" t="s">
        <v>1918</v>
      </c>
      <c r="AP75" s="5" t="s">
        <v>1918</v>
      </c>
      <c r="AQ75" s="5" t="s">
        <v>1918</v>
      </c>
      <c r="AR75" s="5" t="s">
        <v>1918</v>
      </c>
      <c r="AS75" s="5" t="s">
        <v>1918</v>
      </c>
      <c r="AT75" s="5" t="s">
        <v>1918</v>
      </c>
      <c r="AU75" s="5">
        <v>2017</v>
      </c>
      <c r="AV75" s="5">
        <v>31</v>
      </c>
      <c r="AW75" s="5">
        <v>6</v>
      </c>
      <c r="AX75" s="5" t="s">
        <v>1918</v>
      </c>
      <c r="AY75" s="5" t="s">
        <v>1918</v>
      </c>
      <c r="AZ75" s="5" t="s">
        <v>1918</v>
      </c>
      <c r="BA75" s="5" t="s">
        <v>1918</v>
      </c>
      <c r="BB75" s="5">
        <v>665</v>
      </c>
      <c r="BC75" s="5">
        <v>678</v>
      </c>
      <c r="BD75" s="5" t="s">
        <v>1918</v>
      </c>
      <c r="BE75" s="5" t="s">
        <v>2513</v>
      </c>
      <c r="BF75" s="5">
        <v>0</v>
      </c>
      <c r="BG75" s="5" t="s">
        <v>1918</v>
      </c>
      <c r="BH75" s="5" t="s">
        <v>1918</v>
      </c>
      <c r="BI75" s="5" t="s">
        <v>1918</v>
      </c>
      <c r="BJ75" s="5" t="s">
        <v>1918</v>
      </c>
      <c r="BK75" s="5" t="s">
        <v>1918</v>
      </c>
      <c r="BL75" s="5" t="s">
        <v>1918</v>
      </c>
      <c r="BM75" s="5" t="s">
        <v>1918</v>
      </c>
      <c r="BN75" s="5" t="s">
        <v>1918</v>
      </c>
      <c r="BO75" s="5" t="s">
        <v>1918</v>
      </c>
      <c r="BP75" s="5" t="s">
        <v>1918</v>
      </c>
      <c r="BQ75" s="5" t="s">
        <v>1918</v>
      </c>
      <c r="BR75" s="5" t="s">
        <v>1927</v>
      </c>
      <c r="BS75" s="5" t="s">
        <v>2514</v>
      </c>
      <c r="BT75" s="5">
        <v>0</v>
      </c>
      <c r="BU75">
        <f>COUNTIF('오픈소스&amp;직접수집'!F:F,'wos(corecollection)_260528'!BE75)</f>
        <v>0</v>
      </c>
      <c r="BV75">
        <f>COUNTIF('오픈소스&amp;직접수집'!A:A,'wos(corecollection)_260528'!I75)</f>
        <v>0</v>
      </c>
      <c r="BW75">
        <f t="shared" si="1"/>
        <v>0</v>
      </c>
    </row>
    <row r="76" spans="1:75" x14ac:dyDescent="0.3">
      <c r="A76" s="5" t="s">
        <v>2235</v>
      </c>
      <c r="B76" s="5" t="s">
        <v>2515</v>
      </c>
      <c r="C76" s="5" t="s">
        <v>1918</v>
      </c>
      <c r="D76" s="5" t="s">
        <v>1918</v>
      </c>
      <c r="E76" s="5" t="s">
        <v>1918</v>
      </c>
      <c r="F76" s="5" t="s">
        <v>2516</v>
      </c>
      <c r="G76" s="5" t="s">
        <v>1918</v>
      </c>
      <c r="H76" s="5" t="s">
        <v>1918</v>
      </c>
      <c r="I76" s="5" t="s">
        <v>2517</v>
      </c>
      <c r="J76" s="5" t="s">
        <v>2518</v>
      </c>
      <c r="K76" s="5" t="s">
        <v>1918</v>
      </c>
      <c r="L76" s="5" t="s">
        <v>1918</v>
      </c>
      <c r="M76" s="5" t="s">
        <v>1918</v>
      </c>
      <c r="N76" s="5" t="s">
        <v>1920</v>
      </c>
      <c r="O76" s="5" t="s">
        <v>1918</v>
      </c>
      <c r="P76" s="5" t="s">
        <v>1918</v>
      </c>
      <c r="Q76" s="5" t="s">
        <v>1918</v>
      </c>
      <c r="R76" s="5" t="s">
        <v>1918</v>
      </c>
      <c r="S76" s="5" t="s">
        <v>1918</v>
      </c>
      <c r="T76" s="5" t="s">
        <v>1918</v>
      </c>
      <c r="U76" s="5" t="s">
        <v>1918</v>
      </c>
      <c r="V76" s="5" t="s">
        <v>2519</v>
      </c>
      <c r="W76" s="5" t="s">
        <v>2520</v>
      </c>
      <c r="X76" s="5" t="s">
        <v>1918</v>
      </c>
      <c r="Y76" s="5" t="s">
        <v>2521</v>
      </c>
      <c r="Z76" s="5" t="s">
        <v>2522</v>
      </c>
      <c r="AA76" s="5" t="s">
        <v>1918</v>
      </c>
      <c r="AB76" s="5" t="s">
        <v>1918</v>
      </c>
      <c r="AC76" s="5" t="s">
        <v>1918</v>
      </c>
      <c r="AD76" s="5" t="s">
        <v>1918</v>
      </c>
      <c r="AE76" s="5" t="s">
        <v>1918</v>
      </c>
      <c r="AF76" s="5" t="s">
        <v>1918</v>
      </c>
      <c r="AG76" s="5">
        <v>56</v>
      </c>
      <c r="AH76" s="5">
        <v>21</v>
      </c>
      <c r="AI76" s="5">
        <v>22</v>
      </c>
      <c r="AJ76" s="5" t="s">
        <v>1918</v>
      </c>
      <c r="AK76" s="5" t="s">
        <v>1918</v>
      </c>
      <c r="AL76" s="5" t="s">
        <v>1918</v>
      </c>
      <c r="AM76" s="5" t="s">
        <v>1918</v>
      </c>
      <c r="AN76" s="5" t="s">
        <v>1918</v>
      </c>
      <c r="AO76" s="5" t="s">
        <v>1918</v>
      </c>
      <c r="AP76" s="5" t="s">
        <v>1918</v>
      </c>
      <c r="AQ76" s="5" t="s">
        <v>1918</v>
      </c>
      <c r="AR76" s="5" t="s">
        <v>1918</v>
      </c>
      <c r="AS76" s="5" t="s">
        <v>1918</v>
      </c>
      <c r="AT76" s="5" t="s">
        <v>2033</v>
      </c>
      <c r="AU76" s="5">
        <v>2016</v>
      </c>
      <c r="AV76" s="5">
        <v>142</v>
      </c>
      <c r="AW76" s="5">
        <v>11</v>
      </c>
      <c r="AX76" s="5" t="s">
        <v>1918</v>
      </c>
      <c r="AY76" s="5" t="s">
        <v>1918</v>
      </c>
      <c r="AZ76" s="5" t="s">
        <v>1918</v>
      </c>
      <c r="BA76" s="5" t="s">
        <v>1918</v>
      </c>
      <c r="BB76" s="5" t="s">
        <v>1918</v>
      </c>
      <c r="BC76" s="5" t="s">
        <v>1918</v>
      </c>
      <c r="BD76" s="5">
        <v>5016014</v>
      </c>
      <c r="BE76" s="5" t="s">
        <v>2523</v>
      </c>
      <c r="BF76" s="5">
        <v>0</v>
      </c>
      <c r="BG76" s="5" t="s">
        <v>1918</v>
      </c>
      <c r="BH76" s="5" t="s">
        <v>1918</v>
      </c>
      <c r="BI76" s="5" t="s">
        <v>1918</v>
      </c>
      <c r="BJ76" s="5" t="s">
        <v>1918</v>
      </c>
      <c r="BK76" s="5" t="s">
        <v>1918</v>
      </c>
      <c r="BL76" s="5" t="s">
        <v>1918</v>
      </c>
      <c r="BM76" s="5" t="s">
        <v>1918</v>
      </c>
      <c r="BN76" s="5" t="s">
        <v>1918</v>
      </c>
      <c r="BO76" s="5" t="s">
        <v>1918</v>
      </c>
      <c r="BP76" s="5" t="s">
        <v>1918</v>
      </c>
      <c r="BQ76" s="5" t="s">
        <v>1918</v>
      </c>
      <c r="BR76" s="5" t="s">
        <v>1927</v>
      </c>
      <c r="BS76" s="5" t="s">
        <v>2524</v>
      </c>
      <c r="BT76" s="5">
        <v>0</v>
      </c>
      <c r="BU76">
        <f>COUNTIF('오픈소스&amp;직접수집'!F:F,'wos(corecollection)_260528'!BE76)</f>
        <v>0</v>
      </c>
      <c r="BV76">
        <f>COUNTIF('오픈소스&amp;직접수집'!A:A,'wos(corecollection)_260528'!I76)</f>
        <v>0</v>
      </c>
      <c r="BW76">
        <f t="shared" si="1"/>
        <v>0</v>
      </c>
    </row>
    <row r="77" spans="1:75" x14ac:dyDescent="0.3">
      <c r="A77" s="5" t="s">
        <v>2235</v>
      </c>
      <c r="B77" s="5" t="s">
        <v>2525</v>
      </c>
      <c r="C77" s="5" t="s">
        <v>1918</v>
      </c>
      <c r="D77" s="5" t="s">
        <v>1918</v>
      </c>
      <c r="E77" s="5" t="s">
        <v>1918</v>
      </c>
      <c r="F77" s="5" t="s">
        <v>2526</v>
      </c>
      <c r="G77" s="5" t="s">
        <v>1918</v>
      </c>
      <c r="H77" s="5" t="s">
        <v>1918</v>
      </c>
      <c r="I77" s="5" t="s">
        <v>2527</v>
      </c>
      <c r="J77" s="5" t="s">
        <v>2528</v>
      </c>
      <c r="K77" s="5" t="s">
        <v>1918</v>
      </c>
      <c r="L77" s="5" t="s">
        <v>1918</v>
      </c>
      <c r="M77" s="5" t="s">
        <v>1918</v>
      </c>
      <c r="N77" s="5" t="s">
        <v>1920</v>
      </c>
      <c r="O77" s="5" t="s">
        <v>1918</v>
      </c>
      <c r="P77" s="5" t="s">
        <v>1918</v>
      </c>
      <c r="Q77" s="5" t="s">
        <v>1918</v>
      </c>
      <c r="R77" s="5" t="s">
        <v>1918</v>
      </c>
      <c r="S77" s="5" t="s">
        <v>1918</v>
      </c>
      <c r="T77" s="5" t="s">
        <v>1918</v>
      </c>
      <c r="U77" s="5" t="s">
        <v>1918</v>
      </c>
      <c r="V77" s="5" t="s">
        <v>2529</v>
      </c>
      <c r="W77" s="5" t="s">
        <v>2530</v>
      </c>
      <c r="X77" s="5" t="s">
        <v>1918</v>
      </c>
      <c r="Y77" s="5" t="s">
        <v>2531</v>
      </c>
      <c r="Z77" s="5" t="s">
        <v>2532</v>
      </c>
      <c r="AA77" s="5" t="s">
        <v>1918</v>
      </c>
      <c r="AB77" s="5" t="s">
        <v>1918</v>
      </c>
      <c r="AC77" s="5" t="s">
        <v>1918</v>
      </c>
      <c r="AD77" s="5" t="s">
        <v>1918</v>
      </c>
      <c r="AE77" s="5" t="s">
        <v>1918</v>
      </c>
      <c r="AF77" s="5" t="s">
        <v>1918</v>
      </c>
      <c r="AG77" s="5">
        <v>38</v>
      </c>
      <c r="AH77" s="5">
        <v>1</v>
      </c>
      <c r="AI77" s="5">
        <v>2</v>
      </c>
      <c r="AJ77" s="5" t="s">
        <v>1918</v>
      </c>
      <c r="AK77" s="5" t="s">
        <v>1918</v>
      </c>
      <c r="AL77" s="5" t="s">
        <v>1918</v>
      </c>
      <c r="AM77" s="5" t="s">
        <v>1918</v>
      </c>
      <c r="AN77" s="5" t="s">
        <v>1918</v>
      </c>
      <c r="AO77" s="5" t="s">
        <v>1918</v>
      </c>
      <c r="AP77" s="5" t="s">
        <v>1918</v>
      </c>
      <c r="AQ77" s="5" t="s">
        <v>1918</v>
      </c>
      <c r="AR77" s="5" t="s">
        <v>1918</v>
      </c>
      <c r="AS77" s="5" t="s">
        <v>1918</v>
      </c>
      <c r="AT77" s="5" t="s">
        <v>2077</v>
      </c>
      <c r="AU77" s="5">
        <v>2016</v>
      </c>
      <c r="AV77" s="5">
        <v>27</v>
      </c>
      <c r="AW77" s="5">
        <v>1</v>
      </c>
      <c r="AX77" s="5" t="s">
        <v>1918</v>
      </c>
      <c r="AY77" s="5" t="s">
        <v>1918</v>
      </c>
      <c r="AZ77" s="5" t="s">
        <v>1918</v>
      </c>
      <c r="BA77" s="5" t="s">
        <v>1918</v>
      </c>
      <c r="BB77" s="5">
        <v>209</v>
      </c>
      <c r="BC77" s="5">
        <v>221</v>
      </c>
      <c r="BD77" s="5" t="s">
        <v>1918</v>
      </c>
      <c r="BE77" s="5" t="s">
        <v>2533</v>
      </c>
      <c r="BF77" s="5">
        <v>0</v>
      </c>
      <c r="BG77" s="5" t="s">
        <v>1918</v>
      </c>
      <c r="BH77" s="5" t="s">
        <v>1918</v>
      </c>
      <c r="BI77" s="5" t="s">
        <v>1918</v>
      </c>
      <c r="BJ77" s="5" t="s">
        <v>1918</v>
      </c>
      <c r="BK77" s="5" t="s">
        <v>1918</v>
      </c>
      <c r="BL77" s="5" t="s">
        <v>1918</v>
      </c>
      <c r="BM77" s="5" t="s">
        <v>1918</v>
      </c>
      <c r="BN77" s="5" t="s">
        <v>1918</v>
      </c>
      <c r="BO77" s="5" t="s">
        <v>1918</v>
      </c>
      <c r="BP77" s="5" t="s">
        <v>1918</v>
      </c>
      <c r="BQ77" s="5" t="s">
        <v>1918</v>
      </c>
      <c r="BR77" s="5" t="s">
        <v>1927</v>
      </c>
      <c r="BS77" s="5" t="s">
        <v>2534</v>
      </c>
      <c r="BT77" s="5">
        <v>0</v>
      </c>
      <c r="BU77">
        <f>COUNTIF('오픈소스&amp;직접수집'!F:F,'wos(corecollection)_260528'!BE77)</f>
        <v>0</v>
      </c>
      <c r="BV77">
        <f>COUNTIF('오픈소스&amp;직접수집'!A:A,'wos(corecollection)_260528'!I77)</f>
        <v>0</v>
      </c>
      <c r="BW77">
        <f t="shared" si="1"/>
        <v>0</v>
      </c>
    </row>
    <row r="78" spans="1:75" x14ac:dyDescent="0.3">
      <c r="A78" s="5" t="s">
        <v>2235</v>
      </c>
      <c r="B78" s="5" t="s">
        <v>2535</v>
      </c>
      <c r="C78" s="5" t="s">
        <v>1918</v>
      </c>
      <c r="D78" s="5" t="s">
        <v>1918</v>
      </c>
      <c r="E78" s="5" t="s">
        <v>1918</v>
      </c>
      <c r="F78" s="5" t="s">
        <v>2536</v>
      </c>
      <c r="G78" s="5" t="s">
        <v>1918</v>
      </c>
      <c r="H78" s="5" t="s">
        <v>1918</v>
      </c>
      <c r="I78" s="5" t="s">
        <v>2537</v>
      </c>
      <c r="J78" s="5" t="s">
        <v>2538</v>
      </c>
      <c r="K78" s="5" t="s">
        <v>1918</v>
      </c>
      <c r="L78" s="5" t="s">
        <v>1918</v>
      </c>
      <c r="M78" s="5" t="s">
        <v>1918</v>
      </c>
      <c r="N78" s="5" t="s">
        <v>1920</v>
      </c>
      <c r="O78" s="5" t="s">
        <v>1918</v>
      </c>
      <c r="P78" s="5" t="s">
        <v>1918</v>
      </c>
      <c r="Q78" s="5" t="s">
        <v>1918</v>
      </c>
      <c r="R78" s="5" t="s">
        <v>1918</v>
      </c>
      <c r="S78" s="5" t="s">
        <v>1918</v>
      </c>
      <c r="T78" s="5" t="s">
        <v>1918</v>
      </c>
      <c r="U78" s="5" t="s">
        <v>1918</v>
      </c>
      <c r="V78" s="5" t="s">
        <v>2539</v>
      </c>
      <c r="W78" s="5" t="s">
        <v>2540</v>
      </c>
      <c r="X78" s="5" t="s">
        <v>1918</v>
      </c>
      <c r="Y78" s="5" t="s">
        <v>2541</v>
      </c>
      <c r="Z78" s="5" t="s">
        <v>2542</v>
      </c>
      <c r="AA78" s="5" t="s">
        <v>1918</v>
      </c>
      <c r="AB78" s="5" t="s">
        <v>1918</v>
      </c>
      <c r="AC78" s="5" t="s">
        <v>1918</v>
      </c>
      <c r="AD78" s="5" t="s">
        <v>1918</v>
      </c>
      <c r="AE78" s="5" t="s">
        <v>1918</v>
      </c>
      <c r="AF78" s="5" t="s">
        <v>1918</v>
      </c>
      <c r="AG78" s="5">
        <v>32</v>
      </c>
      <c r="AH78" s="5">
        <v>10</v>
      </c>
      <c r="AI78" s="5">
        <v>12</v>
      </c>
      <c r="AJ78" s="5" t="s">
        <v>1918</v>
      </c>
      <c r="AK78" s="5" t="s">
        <v>1918</v>
      </c>
      <c r="AL78" s="5" t="s">
        <v>1918</v>
      </c>
      <c r="AM78" s="5" t="s">
        <v>1918</v>
      </c>
      <c r="AN78" s="5" t="s">
        <v>1918</v>
      </c>
      <c r="AO78" s="5" t="s">
        <v>1918</v>
      </c>
      <c r="AP78" s="5" t="s">
        <v>1918</v>
      </c>
      <c r="AQ78" s="5" t="s">
        <v>1918</v>
      </c>
      <c r="AR78" s="5" t="s">
        <v>1918</v>
      </c>
      <c r="AS78" s="5" t="s">
        <v>1918</v>
      </c>
      <c r="AT78" s="5" t="s">
        <v>1918</v>
      </c>
      <c r="AU78" s="5">
        <v>2016</v>
      </c>
      <c r="AV78" s="5">
        <v>19</v>
      </c>
      <c r="AW78" s="5">
        <v>3</v>
      </c>
      <c r="AX78" s="5" t="s">
        <v>1918</v>
      </c>
      <c r="AY78" s="5" t="s">
        <v>1918</v>
      </c>
      <c r="AZ78" s="5" t="s">
        <v>2189</v>
      </c>
      <c r="BA78" s="5" t="s">
        <v>1918</v>
      </c>
      <c r="BB78" s="5">
        <v>272</v>
      </c>
      <c r="BC78" s="5">
        <v>285</v>
      </c>
      <c r="BD78" s="5" t="s">
        <v>1918</v>
      </c>
      <c r="BE78" s="5" t="s">
        <v>2543</v>
      </c>
      <c r="BF78" s="5">
        <v>0</v>
      </c>
      <c r="BG78" s="5" t="s">
        <v>1918</v>
      </c>
      <c r="BH78" s="5" t="s">
        <v>1918</v>
      </c>
      <c r="BI78" s="5" t="s">
        <v>1918</v>
      </c>
      <c r="BJ78" s="5" t="s">
        <v>1918</v>
      </c>
      <c r="BK78" s="5" t="s">
        <v>1918</v>
      </c>
      <c r="BL78" s="5" t="s">
        <v>1918</v>
      </c>
      <c r="BM78" s="5" t="s">
        <v>1918</v>
      </c>
      <c r="BN78" s="5" t="s">
        <v>1918</v>
      </c>
      <c r="BO78" s="5" t="s">
        <v>1918</v>
      </c>
      <c r="BP78" s="5" t="s">
        <v>1918</v>
      </c>
      <c r="BQ78" s="5" t="s">
        <v>1918</v>
      </c>
      <c r="BR78" s="5" t="s">
        <v>1927</v>
      </c>
      <c r="BS78" s="5" t="s">
        <v>2544</v>
      </c>
      <c r="BT78" s="5">
        <v>0</v>
      </c>
      <c r="BU78">
        <f>COUNTIF('오픈소스&amp;직접수집'!F:F,'wos(corecollection)_260528'!BE78)</f>
        <v>0</v>
      </c>
      <c r="BV78">
        <f>COUNTIF('오픈소스&amp;직접수집'!A:A,'wos(corecollection)_260528'!I78)</f>
        <v>0</v>
      </c>
      <c r="BW78">
        <f t="shared" si="1"/>
        <v>0</v>
      </c>
    </row>
    <row r="79" spans="1:75" x14ac:dyDescent="0.3">
      <c r="A79" s="5" t="s">
        <v>2235</v>
      </c>
      <c r="B79" s="5" t="s">
        <v>2545</v>
      </c>
      <c r="C79" s="5" t="s">
        <v>1918</v>
      </c>
      <c r="D79" s="5" t="s">
        <v>1918</v>
      </c>
      <c r="E79" s="5" t="s">
        <v>1814</v>
      </c>
      <c r="F79" s="5" t="s">
        <v>2546</v>
      </c>
      <c r="G79" s="5" t="s">
        <v>1918</v>
      </c>
      <c r="H79" s="5" t="s">
        <v>1918</v>
      </c>
      <c r="I79" s="5" t="s">
        <v>2547</v>
      </c>
      <c r="J79" s="5" t="s">
        <v>2548</v>
      </c>
      <c r="K79" s="5" t="s">
        <v>1918</v>
      </c>
      <c r="L79" s="5" t="s">
        <v>1918</v>
      </c>
      <c r="M79" s="5" t="s">
        <v>1918</v>
      </c>
      <c r="N79" s="5" t="s">
        <v>2549</v>
      </c>
      <c r="O79" s="5" t="s">
        <v>2550</v>
      </c>
      <c r="P79" s="5" t="s">
        <v>2551</v>
      </c>
      <c r="Q79" s="5" t="s">
        <v>2552</v>
      </c>
      <c r="R79" s="5" t="s">
        <v>1918</v>
      </c>
      <c r="S79" s="5" t="s">
        <v>2553</v>
      </c>
      <c r="T79" s="5" t="s">
        <v>1918</v>
      </c>
      <c r="U79" s="5" t="s">
        <v>1918</v>
      </c>
      <c r="V79" s="5" t="s">
        <v>2554</v>
      </c>
      <c r="W79" s="5" t="s">
        <v>2555</v>
      </c>
      <c r="X79" s="5" t="s">
        <v>1918</v>
      </c>
      <c r="Y79" s="5" t="s">
        <v>2556</v>
      </c>
      <c r="Z79" s="5" t="s">
        <v>2557</v>
      </c>
      <c r="AA79" s="5" t="s">
        <v>1918</v>
      </c>
      <c r="AB79" s="5" t="s">
        <v>1918</v>
      </c>
      <c r="AC79" s="5" t="s">
        <v>1918</v>
      </c>
      <c r="AD79" s="5" t="s">
        <v>1918</v>
      </c>
      <c r="AE79" s="5" t="s">
        <v>1918</v>
      </c>
      <c r="AF79" s="5" t="s">
        <v>1918</v>
      </c>
      <c r="AG79" s="5">
        <v>23</v>
      </c>
      <c r="AH79" s="5">
        <v>5</v>
      </c>
      <c r="AI79" s="5">
        <v>8</v>
      </c>
      <c r="AJ79" s="5" t="s">
        <v>1918</v>
      </c>
      <c r="AK79" s="5" t="s">
        <v>1918</v>
      </c>
      <c r="AL79" s="5" t="s">
        <v>1918</v>
      </c>
      <c r="AM79" s="5" t="s">
        <v>1918</v>
      </c>
      <c r="AN79" s="5" t="s">
        <v>1918</v>
      </c>
      <c r="AO79" s="5" t="s">
        <v>1918</v>
      </c>
      <c r="AP79" s="5" t="s">
        <v>1918</v>
      </c>
      <c r="AQ79" s="5" t="s">
        <v>1918</v>
      </c>
      <c r="AR79" s="5" t="s">
        <v>1918</v>
      </c>
      <c r="AS79" s="5" t="s">
        <v>1918</v>
      </c>
      <c r="AT79" s="5" t="s">
        <v>1918</v>
      </c>
      <c r="AU79" s="5">
        <v>2016</v>
      </c>
      <c r="AV79" s="5" t="s">
        <v>1918</v>
      </c>
      <c r="AW79" s="5" t="s">
        <v>1918</v>
      </c>
      <c r="AX79" s="5" t="s">
        <v>1918</v>
      </c>
      <c r="AY79" s="5" t="s">
        <v>1918</v>
      </c>
      <c r="AZ79" s="5" t="s">
        <v>1918</v>
      </c>
      <c r="BA79" s="5" t="s">
        <v>1918</v>
      </c>
      <c r="BB79" s="5" t="s">
        <v>1918</v>
      </c>
      <c r="BC79" s="5" t="s">
        <v>1918</v>
      </c>
      <c r="BD79" s="5" t="s">
        <v>1918</v>
      </c>
      <c r="BE79" s="5" t="s">
        <v>2558</v>
      </c>
      <c r="BF79" s="5">
        <v>0</v>
      </c>
      <c r="BG79" s="5" t="s">
        <v>1918</v>
      </c>
      <c r="BH79" s="5" t="s">
        <v>1918</v>
      </c>
      <c r="BI79" s="5" t="s">
        <v>1918</v>
      </c>
      <c r="BJ79" s="5" t="s">
        <v>1918</v>
      </c>
      <c r="BK79" s="5" t="s">
        <v>1918</v>
      </c>
      <c r="BL79" s="5" t="s">
        <v>1918</v>
      </c>
      <c r="BM79" s="5" t="s">
        <v>1918</v>
      </c>
      <c r="BN79" s="5" t="s">
        <v>1918</v>
      </c>
      <c r="BO79" s="5" t="s">
        <v>1918</v>
      </c>
      <c r="BP79" s="5" t="s">
        <v>1918</v>
      </c>
      <c r="BQ79" s="5" t="s">
        <v>1918</v>
      </c>
      <c r="BR79" s="5" t="s">
        <v>1927</v>
      </c>
      <c r="BS79" s="5" t="s">
        <v>2559</v>
      </c>
      <c r="BT79" s="5">
        <v>0</v>
      </c>
      <c r="BU79">
        <f>COUNTIF('오픈소스&amp;직접수집'!F:F,'wos(corecollection)_260528'!BE79)</f>
        <v>0</v>
      </c>
      <c r="BV79">
        <f>COUNTIF('오픈소스&amp;직접수집'!A:A,'wos(corecollection)_260528'!I79)</f>
        <v>0</v>
      </c>
      <c r="BW79">
        <f t="shared" si="1"/>
        <v>0</v>
      </c>
    </row>
    <row r="80" spans="1:75" x14ac:dyDescent="0.3">
      <c r="A80" s="5" t="s">
        <v>2235</v>
      </c>
      <c r="B80" s="5" t="s">
        <v>2560</v>
      </c>
      <c r="C80" s="5" t="s">
        <v>1918</v>
      </c>
      <c r="D80" s="5" t="s">
        <v>1918</v>
      </c>
      <c r="E80" s="5" t="s">
        <v>1918</v>
      </c>
      <c r="F80" s="5" t="s">
        <v>2561</v>
      </c>
      <c r="G80" s="5" t="s">
        <v>1918</v>
      </c>
      <c r="H80" s="5" t="s">
        <v>1918</v>
      </c>
      <c r="I80" s="5" t="s">
        <v>2562</v>
      </c>
      <c r="J80" s="5" t="s">
        <v>2563</v>
      </c>
      <c r="K80" s="5" t="s">
        <v>1918</v>
      </c>
      <c r="L80" s="5" t="s">
        <v>1918</v>
      </c>
      <c r="M80" s="5" t="s">
        <v>1918</v>
      </c>
      <c r="N80" s="5" t="s">
        <v>1920</v>
      </c>
      <c r="O80" s="5" t="s">
        <v>1918</v>
      </c>
      <c r="P80" s="5" t="s">
        <v>1918</v>
      </c>
      <c r="Q80" s="5" t="s">
        <v>1918</v>
      </c>
      <c r="R80" s="5" t="s">
        <v>1918</v>
      </c>
      <c r="S80" s="5" t="s">
        <v>1918</v>
      </c>
      <c r="T80" s="5" t="s">
        <v>1918</v>
      </c>
      <c r="U80" s="5" t="s">
        <v>1918</v>
      </c>
      <c r="V80" s="5" t="s">
        <v>2564</v>
      </c>
      <c r="W80" s="5" t="s">
        <v>2565</v>
      </c>
      <c r="X80" s="5" t="s">
        <v>1918</v>
      </c>
      <c r="Y80" s="5" t="s">
        <v>2566</v>
      </c>
      <c r="Z80" s="5" t="s">
        <v>2567</v>
      </c>
      <c r="AA80" s="5" t="s">
        <v>1918</v>
      </c>
      <c r="AB80" s="5" t="s">
        <v>1918</v>
      </c>
      <c r="AC80" s="5" t="s">
        <v>1918</v>
      </c>
      <c r="AD80" s="5" t="s">
        <v>1918</v>
      </c>
      <c r="AE80" s="5" t="s">
        <v>1918</v>
      </c>
      <c r="AF80" s="5" t="s">
        <v>1918</v>
      </c>
      <c r="AG80" s="5">
        <v>81</v>
      </c>
      <c r="AH80" s="5">
        <v>43</v>
      </c>
      <c r="AI80" s="5">
        <v>53</v>
      </c>
      <c r="AJ80" s="5" t="s">
        <v>1918</v>
      </c>
      <c r="AK80" s="5" t="s">
        <v>1918</v>
      </c>
      <c r="AL80" s="5" t="s">
        <v>1918</v>
      </c>
      <c r="AM80" s="5" t="s">
        <v>1918</v>
      </c>
      <c r="AN80" s="5" t="s">
        <v>1918</v>
      </c>
      <c r="AO80" s="5" t="s">
        <v>1918</v>
      </c>
      <c r="AP80" s="5" t="s">
        <v>1918</v>
      </c>
      <c r="AQ80" s="5" t="s">
        <v>1918</v>
      </c>
      <c r="AR80" s="5" t="s">
        <v>1918</v>
      </c>
      <c r="AS80" s="5" t="s">
        <v>1918</v>
      </c>
      <c r="AT80" s="5" t="s">
        <v>2492</v>
      </c>
      <c r="AU80" s="5">
        <v>2015</v>
      </c>
      <c r="AV80" s="5">
        <v>42</v>
      </c>
      <c r="AW80" s="5" t="s">
        <v>1918</v>
      </c>
      <c r="AX80" s="5" t="s">
        <v>1918</v>
      </c>
      <c r="AY80" s="5" t="s">
        <v>1918</v>
      </c>
      <c r="AZ80" s="5" t="s">
        <v>1918</v>
      </c>
      <c r="BA80" s="5" t="s">
        <v>1918</v>
      </c>
      <c r="BB80" s="5">
        <v>97</v>
      </c>
      <c r="BC80" s="5">
        <v>105</v>
      </c>
      <c r="BD80" s="5" t="s">
        <v>1918</v>
      </c>
      <c r="BE80" s="5" t="s">
        <v>2568</v>
      </c>
      <c r="BF80" s="5">
        <v>0</v>
      </c>
      <c r="BG80" s="5" t="s">
        <v>1918</v>
      </c>
      <c r="BH80" s="5" t="s">
        <v>1918</v>
      </c>
      <c r="BI80" s="5" t="s">
        <v>1918</v>
      </c>
      <c r="BJ80" s="5" t="s">
        <v>1918</v>
      </c>
      <c r="BK80" s="5" t="s">
        <v>1918</v>
      </c>
      <c r="BL80" s="5" t="s">
        <v>1918</v>
      </c>
      <c r="BM80" s="5" t="s">
        <v>1918</v>
      </c>
      <c r="BN80" s="5" t="s">
        <v>1918</v>
      </c>
      <c r="BO80" s="5" t="s">
        <v>1918</v>
      </c>
      <c r="BP80" s="5" t="s">
        <v>1918</v>
      </c>
      <c r="BQ80" s="5" t="s">
        <v>1918</v>
      </c>
      <c r="BR80" s="5" t="s">
        <v>1927</v>
      </c>
      <c r="BS80" s="5" t="s">
        <v>2569</v>
      </c>
      <c r="BT80" s="5">
        <v>0</v>
      </c>
      <c r="BU80">
        <f>COUNTIF('오픈소스&amp;직접수집'!F:F,'wos(corecollection)_260528'!BE80)</f>
        <v>0</v>
      </c>
      <c r="BV80">
        <f>COUNTIF('오픈소스&amp;직접수집'!A:A,'wos(corecollection)_260528'!I80)</f>
        <v>0</v>
      </c>
      <c r="BW80">
        <f t="shared" si="1"/>
        <v>0</v>
      </c>
    </row>
    <row r="81" spans="1:75" x14ac:dyDescent="0.3">
      <c r="A81" s="5" t="s">
        <v>2235</v>
      </c>
      <c r="B81" s="5" t="s">
        <v>2570</v>
      </c>
      <c r="C81" s="5" t="s">
        <v>1918</v>
      </c>
      <c r="D81" s="5" t="s">
        <v>1918</v>
      </c>
      <c r="E81" s="5" t="s">
        <v>1918</v>
      </c>
      <c r="F81" s="5" t="s">
        <v>2571</v>
      </c>
      <c r="G81" s="5" t="s">
        <v>1918</v>
      </c>
      <c r="H81" s="5" t="s">
        <v>1918</v>
      </c>
      <c r="I81" s="5" t="s">
        <v>2572</v>
      </c>
      <c r="J81" s="5" t="s">
        <v>2573</v>
      </c>
      <c r="K81" s="5" t="s">
        <v>1918</v>
      </c>
      <c r="L81" s="5" t="s">
        <v>1918</v>
      </c>
      <c r="M81" s="5" t="s">
        <v>1918</v>
      </c>
      <c r="N81" s="5" t="s">
        <v>1920</v>
      </c>
      <c r="O81" s="5" t="s">
        <v>1918</v>
      </c>
      <c r="P81" s="5" t="s">
        <v>1918</v>
      </c>
      <c r="Q81" s="5" t="s">
        <v>1918</v>
      </c>
      <c r="R81" s="5" t="s">
        <v>1918</v>
      </c>
      <c r="S81" s="5" t="s">
        <v>1918</v>
      </c>
      <c r="T81" s="5" t="s">
        <v>1918</v>
      </c>
      <c r="U81" s="5" t="s">
        <v>1918</v>
      </c>
      <c r="V81" s="5" t="s">
        <v>2574</v>
      </c>
      <c r="W81" s="5" t="s">
        <v>2575</v>
      </c>
      <c r="X81" s="5" t="s">
        <v>1918</v>
      </c>
      <c r="Y81" s="5" t="s">
        <v>2576</v>
      </c>
      <c r="Z81" s="5" t="s">
        <v>1918</v>
      </c>
      <c r="AA81" s="5" t="s">
        <v>1918</v>
      </c>
      <c r="AB81" s="5" t="s">
        <v>1918</v>
      </c>
      <c r="AC81" s="5" t="s">
        <v>1918</v>
      </c>
      <c r="AD81" s="5" t="s">
        <v>1918</v>
      </c>
      <c r="AE81" s="5" t="s">
        <v>1918</v>
      </c>
      <c r="AF81" s="5" t="s">
        <v>1918</v>
      </c>
      <c r="AG81" s="5">
        <v>22</v>
      </c>
      <c r="AH81" s="5">
        <v>0</v>
      </c>
      <c r="AI81" s="5">
        <v>0</v>
      </c>
      <c r="AJ81" s="5" t="s">
        <v>1918</v>
      </c>
      <c r="AK81" s="5" t="s">
        <v>1918</v>
      </c>
      <c r="AL81" s="5" t="s">
        <v>1918</v>
      </c>
      <c r="AM81" s="5" t="s">
        <v>1918</v>
      </c>
      <c r="AN81" s="5" t="s">
        <v>1918</v>
      </c>
      <c r="AO81" s="5" t="s">
        <v>1918</v>
      </c>
      <c r="AP81" s="5" t="s">
        <v>1918</v>
      </c>
      <c r="AQ81" s="5" t="s">
        <v>1918</v>
      </c>
      <c r="AR81" s="5" t="s">
        <v>1918</v>
      </c>
      <c r="AS81" s="5" t="s">
        <v>1918</v>
      </c>
      <c r="AT81" s="5" t="s">
        <v>2577</v>
      </c>
      <c r="AU81" s="5">
        <v>2015</v>
      </c>
      <c r="AV81" s="5">
        <v>34</v>
      </c>
      <c r="AW81" s="5">
        <v>1</v>
      </c>
      <c r="AX81" s="5" t="s">
        <v>1918</v>
      </c>
      <c r="AY81" s="5" t="s">
        <v>1918</v>
      </c>
      <c r="AZ81" s="5" t="s">
        <v>1918</v>
      </c>
      <c r="BA81" s="5" t="s">
        <v>1918</v>
      </c>
      <c r="BB81" s="5">
        <v>61</v>
      </c>
      <c r="BC81" s="5">
        <v>69</v>
      </c>
      <c r="BD81" s="5" t="s">
        <v>1918</v>
      </c>
      <c r="BE81" s="5" t="s">
        <v>1918</v>
      </c>
      <c r="BF81" s="5" t="s">
        <v>1918</v>
      </c>
      <c r="BG81" s="5" t="s">
        <v>1918</v>
      </c>
      <c r="BH81" s="5" t="s">
        <v>1918</v>
      </c>
      <c r="BI81" s="5" t="s">
        <v>1918</v>
      </c>
      <c r="BJ81" s="5" t="s">
        <v>1918</v>
      </c>
      <c r="BK81" s="5" t="s">
        <v>1918</v>
      </c>
      <c r="BL81" s="5" t="s">
        <v>1918</v>
      </c>
      <c r="BM81" s="5" t="s">
        <v>1918</v>
      </c>
      <c r="BN81" s="5" t="s">
        <v>1918</v>
      </c>
      <c r="BO81" s="5" t="s">
        <v>1918</v>
      </c>
      <c r="BP81" s="5" t="s">
        <v>1918</v>
      </c>
      <c r="BQ81" s="5" t="s">
        <v>1918</v>
      </c>
      <c r="BR81" s="5" t="s">
        <v>1927</v>
      </c>
      <c r="BS81" s="5" t="s">
        <v>2578</v>
      </c>
      <c r="BT81" s="5">
        <v>0</v>
      </c>
      <c r="BU81" t="s">
        <v>2835</v>
      </c>
      <c r="BV81">
        <f>COUNTIF('오픈소스&amp;직접수집'!A:A,'wos(corecollection)_260528'!I81)</f>
        <v>0</v>
      </c>
      <c r="BW81">
        <f>SUM(BU81:BV81)</f>
        <v>0</v>
      </c>
    </row>
    <row r="82" spans="1:75" x14ac:dyDescent="0.3">
      <c r="A82" s="5" t="s">
        <v>2235</v>
      </c>
      <c r="B82" s="5" t="s">
        <v>2579</v>
      </c>
      <c r="C82" s="5" t="s">
        <v>1918</v>
      </c>
      <c r="D82" s="5" t="s">
        <v>2580</v>
      </c>
      <c r="E82" s="5" t="s">
        <v>1918</v>
      </c>
      <c r="F82" s="5" t="s">
        <v>2581</v>
      </c>
      <c r="G82" s="5" t="s">
        <v>1918</v>
      </c>
      <c r="H82" s="5" t="s">
        <v>1918</v>
      </c>
      <c r="I82" s="5" t="s">
        <v>2582</v>
      </c>
      <c r="J82" s="5" t="s">
        <v>2583</v>
      </c>
      <c r="K82" s="5" t="s">
        <v>1918</v>
      </c>
      <c r="L82" s="5" t="s">
        <v>1918</v>
      </c>
      <c r="M82" s="5" t="s">
        <v>1918</v>
      </c>
      <c r="N82" s="5" t="s">
        <v>2549</v>
      </c>
      <c r="O82" s="5" t="s">
        <v>2584</v>
      </c>
      <c r="P82" s="5" t="s">
        <v>2585</v>
      </c>
      <c r="Q82" s="5" t="s">
        <v>2586</v>
      </c>
      <c r="R82" s="5" t="s">
        <v>1918</v>
      </c>
      <c r="S82" s="5" t="s">
        <v>2587</v>
      </c>
      <c r="T82" s="5" t="s">
        <v>1918</v>
      </c>
      <c r="U82" s="5" t="s">
        <v>1918</v>
      </c>
      <c r="V82" s="5" t="s">
        <v>1918</v>
      </c>
      <c r="W82" s="5" t="s">
        <v>2588</v>
      </c>
      <c r="X82" s="5" t="s">
        <v>1918</v>
      </c>
      <c r="Y82" s="5" t="s">
        <v>2589</v>
      </c>
      <c r="Z82" s="5" t="s">
        <v>1918</v>
      </c>
      <c r="AA82" s="5" t="s">
        <v>1918</v>
      </c>
      <c r="AB82" s="5" t="s">
        <v>1918</v>
      </c>
      <c r="AC82" s="5" t="s">
        <v>1918</v>
      </c>
      <c r="AD82" s="5" t="s">
        <v>1918</v>
      </c>
      <c r="AE82" s="5" t="s">
        <v>1918</v>
      </c>
      <c r="AF82" s="5" t="s">
        <v>1918</v>
      </c>
      <c r="AG82" s="5">
        <v>23</v>
      </c>
      <c r="AH82" s="5">
        <v>0</v>
      </c>
      <c r="AI82" s="5">
        <v>0</v>
      </c>
      <c r="AJ82" s="5" t="s">
        <v>1918</v>
      </c>
      <c r="AK82" s="5" t="s">
        <v>1918</v>
      </c>
      <c r="AL82" s="5" t="s">
        <v>1918</v>
      </c>
      <c r="AM82" s="5" t="s">
        <v>1918</v>
      </c>
      <c r="AN82" s="5" t="s">
        <v>1918</v>
      </c>
      <c r="AO82" s="5" t="s">
        <v>1918</v>
      </c>
      <c r="AP82" s="5" t="s">
        <v>1918</v>
      </c>
      <c r="AQ82" s="5" t="s">
        <v>1918</v>
      </c>
      <c r="AR82" s="5" t="s">
        <v>1918</v>
      </c>
      <c r="AS82" s="5" t="s">
        <v>1918</v>
      </c>
      <c r="AT82" s="5" t="s">
        <v>1918</v>
      </c>
      <c r="AU82" s="5">
        <v>2015</v>
      </c>
      <c r="AV82" s="5" t="s">
        <v>1918</v>
      </c>
      <c r="AW82" s="5" t="s">
        <v>1918</v>
      </c>
      <c r="AX82" s="5" t="s">
        <v>1918</v>
      </c>
      <c r="AY82" s="5" t="s">
        <v>1918</v>
      </c>
      <c r="AZ82" s="5" t="s">
        <v>1918</v>
      </c>
      <c r="BA82" s="5" t="s">
        <v>1918</v>
      </c>
      <c r="BB82" s="5">
        <v>40</v>
      </c>
      <c r="BC82" s="5">
        <v>57</v>
      </c>
      <c r="BD82" s="5" t="s">
        <v>1918</v>
      </c>
      <c r="BE82" s="5" t="s">
        <v>1918</v>
      </c>
      <c r="BF82" s="5" t="s">
        <v>1918</v>
      </c>
      <c r="BG82" s="5" t="s">
        <v>1918</v>
      </c>
      <c r="BH82" s="5" t="s">
        <v>1918</v>
      </c>
      <c r="BI82" s="5" t="s">
        <v>1918</v>
      </c>
      <c r="BJ82" s="5" t="s">
        <v>1918</v>
      </c>
      <c r="BK82" s="5" t="s">
        <v>1918</v>
      </c>
      <c r="BL82" s="5" t="s">
        <v>1918</v>
      </c>
      <c r="BM82" s="5" t="s">
        <v>1918</v>
      </c>
      <c r="BN82" s="5" t="s">
        <v>1918</v>
      </c>
      <c r="BO82" s="5" t="s">
        <v>1918</v>
      </c>
      <c r="BP82" s="5" t="s">
        <v>1918</v>
      </c>
      <c r="BQ82" s="5" t="s">
        <v>1918</v>
      </c>
      <c r="BR82" s="5" t="s">
        <v>1927</v>
      </c>
      <c r="BS82" s="5" t="s">
        <v>2590</v>
      </c>
      <c r="BT82" s="5">
        <v>0</v>
      </c>
      <c r="BU82" t="s">
        <v>2835</v>
      </c>
      <c r="BV82">
        <f>COUNTIF('오픈소스&amp;직접수집'!A:A,'wos(corecollection)_260528'!I82)</f>
        <v>0</v>
      </c>
      <c r="BW82">
        <f t="shared" si="1"/>
        <v>0</v>
      </c>
    </row>
    <row r="83" spans="1:75" x14ac:dyDescent="0.3">
      <c r="A83" s="5" t="s">
        <v>2235</v>
      </c>
      <c r="B83" s="5" t="s">
        <v>2591</v>
      </c>
      <c r="C83" s="5" t="s">
        <v>1918</v>
      </c>
      <c r="D83" s="5" t="s">
        <v>1918</v>
      </c>
      <c r="E83" s="5" t="s">
        <v>1918</v>
      </c>
      <c r="F83" s="5" t="s">
        <v>2592</v>
      </c>
      <c r="G83" s="5" t="s">
        <v>1918</v>
      </c>
      <c r="H83" s="5" t="s">
        <v>1918</v>
      </c>
      <c r="I83" s="5" t="s">
        <v>2593</v>
      </c>
      <c r="J83" s="5" t="s">
        <v>2594</v>
      </c>
      <c r="K83" s="5" t="s">
        <v>1918</v>
      </c>
      <c r="L83" s="5" t="s">
        <v>1918</v>
      </c>
      <c r="M83" s="5" t="s">
        <v>1918</v>
      </c>
      <c r="N83" s="5" t="s">
        <v>1920</v>
      </c>
      <c r="O83" s="5" t="s">
        <v>1918</v>
      </c>
      <c r="P83" s="5" t="s">
        <v>1918</v>
      </c>
      <c r="Q83" s="5" t="s">
        <v>1918</v>
      </c>
      <c r="R83" s="5" t="s">
        <v>1918</v>
      </c>
      <c r="S83" s="5" t="s">
        <v>1918</v>
      </c>
      <c r="T83" s="5" t="s">
        <v>1918</v>
      </c>
      <c r="U83" s="5" t="s">
        <v>1918</v>
      </c>
      <c r="V83" s="5" t="s">
        <v>2595</v>
      </c>
      <c r="W83" s="5" t="s">
        <v>2596</v>
      </c>
      <c r="X83" s="5" t="s">
        <v>1918</v>
      </c>
      <c r="Y83" s="5" t="s">
        <v>2597</v>
      </c>
      <c r="Z83" s="5" t="s">
        <v>2598</v>
      </c>
      <c r="AA83" s="5" t="s">
        <v>1918</v>
      </c>
      <c r="AB83" s="5" t="s">
        <v>1918</v>
      </c>
      <c r="AC83" s="5" t="s">
        <v>1918</v>
      </c>
      <c r="AD83" s="5" t="s">
        <v>1918</v>
      </c>
      <c r="AE83" s="5" t="s">
        <v>1918</v>
      </c>
      <c r="AF83" s="5" t="s">
        <v>1918</v>
      </c>
      <c r="AG83" s="5">
        <v>67</v>
      </c>
      <c r="AH83" s="5">
        <v>146</v>
      </c>
      <c r="AI83" s="5">
        <v>177</v>
      </c>
      <c r="AJ83" s="5" t="s">
        <v>1918</v>
      </c>
      <c r="AK83" s="5" t="s">
        <v>1918</v>
      </c>
      <c r="AL83" s="5" t="s">
        <v>1918</v>
      </c>
      <c r="AM83" s="5" t="s">
        <v>1918</v>
      </c>
      <c r="AN83" s="5" t="s">
        <v>1918</v>
      </c>
      <c r="AO83" s="5" t="s">
        <v>1918</v>
      </c>
      <c r="AP83" s="5" t="s">
        <v>1918</v>
      </c>
      <c r="AQ83" s="5" t="s">
        <v>1918</v>
      </c>
      <c r="AR83" s="5" t="s">
        <v>1918</v>
      </c>
      <c r="AS83" s="5" t="s">
        <v>1918</v>
      </c>
      <c r="AT83" s="5" t="s">
        <v>2139</v>
      </c>
      <c r="AU83" s="5">
        <v>2014</v>
      </c>
      <c r="AV83" s="5">
        <v>32</v>
      </c>
      <c r="AW83" s="5">
        <v>5</v>
      </c>
      <c r="AX83" s="5" t="s">
        <v>1918</v>
      </c>
      <c r="AY83" s="5" t="s">
        <v>1918</v>
      </c>
      <c r="AZ83" s="5" t="s">
        <v>1918</v>
      </c>
      <c r="BA83" s="5" t="s">
        <v>1918</v>
      </c>
      <c r="BB83" s="5">
        <v>838</v>
      </c>
      <c r="BC83" s="5">
        <v>849</v>
      </c>
      <c r="BD83" s="5" t="s">
        <v>1918</v>
      </c>
      <c r="BE83" s="5" t="s">
        <v>1802</v>
      </c>
      <c r="BF83" s="5">
        <v>0</v>
      </c>
      <c r="BG83" s="5" t="s">
        <v>1918</v>
      </c>
      <c r="BH83" s="5" t="s">
        <v>1918</v>
      </c>
      <c r="BI83" s="5" t="s">
        <v>1918</v>
      </c>
      <c r="BJ83" s="5" t="s">
        <v>1918</v>
      </c>
      <c r="BK83" s="5" t="s">
        <v>1918</v>
      </c>
      <c r="BL83" s="5" t="s">
        <v>1918</v>
      </c>
      <c r="BM83" s="5" t="s">
        <v>1918</v>
      </c>
      <c r="BN83" s="5" t="s">
        <v>1918</v>
      </c>
      <c r="BO83" s="5" t="s">
        <v>1918</v>
      </c>
      <c r="BP83" s="5" t="s">
        <v>1918</v>
      </c>
      <c r="BQ83" s="5" t="s">
        <v>1918</v>
      </c>
      <c r="BR83" s="5" t="s">
        <v>1927</v>
      </c>
      <c r="BS83" s="5" t="s">
        <v>2599</v>
      </c>
      <c r="BT83" s="5">
        <v>0</v>
      </c>
      <c r="BU83">
        <f>COUNTIF('오픈소스&amp;직접수집'!F:F,'wos(corecollection)_260528'!BE83)</f>
        <v>0</v>
      </c>
      <c r="BV83">
        <f>COUNTIF('오픈소스&amp;직접수집'!A:A,'wos(corecollection)_260528'!I83)</f>
        <v>0</v>
      </c>
      <c r="BW83">
        <f t="shared" si="1"/>
        <v>0</v>
      </c>
    </row>
    <row r="84" spans="1:75" x14ac:dyDescent="0.3">
      <c r="A84" s="5" t="s">
        <v>2235</v>
      </c>
      <c r="B84" s="5" t="s">
        <v>2600</v>
      </c>
      <c r="C84" s="5" t="s">
        <v>1918</v>
      </c>
      <c r="D84" s="5" t="s">
        <v>1918</v>
      </c>
      <c r="E84" s="5" t="s">
        <v>1918</v>
      </c>
      <c r="F84" s="5" t="s">
        <v>2601</v>
      </c>
      <c r="G84" s="5" t="s">
        <v>1918</v>
      </c>
      <c r="H84" s="5" t="s">
        <v>1918</v>
      </c>
      <c r="I84" s="5" t="s">
        <v>2602</v>
      </c>
      <c r="J84" s="5" t="s">
        <v>2603</v>
      </c>
      <c r="K84" s="5" t="s">
        <v>1918</v>
      </c>
      <c r="L84" s="5" t="s">
        <v>1918</v>
      </c>
      <c r="M84" s="5" t="s">
        <v>1918</v>
      </c>
      <c r="N84" s="5" t="s">
        <v>1920</v>
      </c>
      <c r="O84" s="5" t="s">
        <v>1918</v>
      </c>
      <c r="P84" s="5" t="s">
        <v>1918</v>
      </c>
      <c r="Q84" s="5" t="s">
        <v>1918</v>
      </c>
      <c r="R84" s="5" t="s">
        <v>1918</v>
      </c>
      <c r="S84" s="5" t="s">
        <v>1918</v>
      </c>
      <c r="T84" s="5" t="s">
        <v>1918</v>
      </c>
      <c r="U84" s="5" t="s">
        <v>1918</v>
      </c>
      <c r="V84" s="5" t="s">
        <v>2604</v>
      </c>
      <c r="W84" s="5" t="s">
        <v>2605</v>
      </c>
      <c r="X84" s="5" t="s">
        <v>1918</v>
      </c>
      <c r="Y84" s="5" t="s">
        <v>2606</v>
      </c>
      <c r="Z84" s="5" t="s">
        <v>2607</v>
      </c>
      <c r="AA84" s="5" t="s">
        <v>1918</v>
      </c>
      <c r="AB84" s="5" t="s">
        <v>1918</v>
      </c>
      <c r="AC84" s="5" t="s">
        <v>1918</v>
      </c>
      <c r="AD84" s="5" t="s">
        <v>1918</v>
      </c>
      <c r="AE84" s="5" t="s">
        <v>1918</v>
      </c>
      <c r="AF84" s="5" t="s">
        <v>1918</v>
      </c>
      <c r="AG84" s="5">
        <v>34</v>
      </c>
      <c r="AH84" s="5">
        <v>11</v>
      </c>
      <c r="AI84" s="5">
        <v>15</v>
      </c>
      <c r="AJ84" s="5" t="s">
        <v>1918</v>
      </c>
      <c r="AK84" s="5" t="s">
        <v>1918</v>
      </c>
      <c r="AL84" s="5" t="s">
        <v>1918</v>
      </c>
      <c r="AM84" s="5" t="s">
        <v>1918</v>
      </c>
      <c r="AN84" s="5" t="s">
        <v>1918</v>
      </c>
      <c r="AO84" s="5" t="s">
        <v>1918</v>
      </c>
      <c r="AP84" s="5" t="s">
        <v>1918</v>
      </c>
      <c r="AQ84" s="5" t="s">
        <v>1918</v>
      </c>
      <c r="AR84" s="5" t="s">
        <v>1918</v>
      </c>
      <c r="AS84" s="5" t="s">
        <v>1918</v>
      </c>
      <c r="AT84" s="5" t="s">
        <v>1918</v>
      </c>
      <c r="AU84" s="5">
        <v>2014</v>
      </c>
      <c r="AV84" s="5">
        <v>18</v>
      </c>
      <c r="AW84" s="5">
        <v>1</v>
      </c>
      <c r="AX84" s="5" t="s">
        <v>1918</v>
      </c>
      <c r="AY84" s="5" t="s">
        <v>1918</v>
      </c>
      <c r="AZ84" s="5" t="s">
        <v>1918</v>
      </c>
      <c r="BA84" s="5" t="s">
        <v>1918</v>
      </c>
      <c r="BB84" s="5">
        <v>38</v>
      </c>
      <c r="BC84" s="5">
        <v>51</v>
      </c>
      <c r="BD84" s="5" t="s">
        <v>1918</v>
      </c>
      <c r="BE84" s="5" t="s">
        <v>2608</v>
      </c>
      <c r="BF84" s="5">
        <v>0</v>
      </c>
      <c r="BG84" s="5" t="s">
        <v>1918</v>
      </c>
      <c r="BH84" s="5" t="s">
        <v>1918</v>
      </c>
      <c r="BI84" s="5" t="s">
        <v>1918</v>
      </c>
      <c r="BJ84" s="5" t="s">
        <v>1918</v>
      </c>
      <c r="BK84" s="5" t="s">
        <v>1918</v>
      </c>
      <c r="BL84" s="5" t="s">
        <v>1918</v>
      </c>
      <c r="BM84" s="5" t="s">
        <v>1918</v>
      </c>
      <c r="BN84" s="5" t="s">
        <v>1918</v>
      </c>
      <c r="BO84" s="5" t="s">
        <v>1918</v>
      </c>
      <c r="BP84" s="5" t="s">
        <v>1918</v>
      </c>
      <c r="BQ84" s="5" t="s">
        <v>1918</v>
      </c>
      <c r="BR84" s="5" t="s">
        <v>1927</v>
      </c>
      <c r="BS84" s="5" t="s">
        <v>2609</v>
      </c>
      <c r="BT84" s="5">
        <v>0</v>
      </c>
      <c r="BU84">
        <f>COUNTIF('오픈소스&amp;직접수집'!F:F,'wos(corecollection)_260528'!BE84)</f>
        <v>0</v>
      </c>
      <c r="BV84">
        <f>COUNTIF('오픈소스&amp;직접수집'!A:A,'wos(corecollection)_260528'!I84)</f>
        <v>0</v>
      </c>
      <c r="BW84">
        <f t="shared" si="1"/>
        <v>0</v>
      </c>
    </row>
    <row r="85" spans="1:75" x14ac:dyDescent="0.3">
      <c r="A85" s="5" t="s">
        <v>2235</v>
      </c>
      <c r="B85" s="5" t="s">
        <v>2610</v>
      </c>
      <c r="C85" s="5" t="s">
        <v>1918</v>
      </c>
      <c r="D85" s="5" t="s">
        <v>1918</v>
      </c>
      <c r="E85" s="5" t="s">
        <v>1918</v>
      </c>
      <c r="F85" s="5" t="s">
        <v>2611</v>
      </c>
      <c r="G85" s="5" t="s">
        <v>1918</v>
      </c>
      <c r="H85" s="5" t="s">
        <v>1918</v>
      </c>
      <c r="I85" s="5" t="s">
        <v>2612</v>
      </c>
      <c r="J85" s="5" t="s">
        <v>2613</v>
      </c>
      <c r="K85" s="5" t="s">
        <v>1918</v>
      </c>
      <c r="L85" s="5" t="s">
        <v>1918</v>
      </c>
      <c r="M85" s="5" t="s">
        <v>1918</v>
      </c>
      <c r="N85" s="5" t="s">
        <v>2028</v>
      </c>
      <c r="O85" s="5" t="s">
        <v>1918</v>
      </c>
      <c r="P85" s="5" t="s">
        <v>1918</v>
      </c>
      <c r="Q85" s="5" t="s">
        <v>1918</v>
      </c>
      <c r="R85" s="5" t="s">
        <v>1918</v>
      </c>
      <c r="S85" s="5" t="s">
        <v>1918</v>
      </c>
      <c r="T85" s="5" t="s">
        <v>1918</v>
      </c>
      <c r="U85" s="5" t="s">
        <v>1918</v>
      </c>
      <c r="V85" s="5" t="s">
        <v>2614</v>
      </c>
      <c r="W85" s="5" t="s">
        <v>2615</v>
      </c>
      <c r="X85" s="5" t="s">
        <v>1918</v>
      </c>
      <c r="Y85" s="5" t="s">
        <v>2616</v>
      </c>
      <c r="Z85" s="5" t="s">
        <v>2617</v>
      </c>
      <c r="AA85" s="5" t="s">
        <v>1918</v>
      </c>
      <c r="AB85" s="5" t="s">
        <v>1918</v>
      </c>
      <c r="AC85" s="5" t="s">
        <v>1918</v>
      </c>
      <c r="AD85" s="5" t="s">
        <v>1918</v>
      </c>
      <c r="AE85" s="5" t="s">
        <v>1918</v>
      </c>
      <c r="AF85" s="5" t="s">
        <v>1918</v>
      </c>
      <c r="AG85" s="5">
        <v>46</v>
      </c>
      <c r="AH85" s="5">
        <v>83</v>
      </c>
      <c r="AI85" s="5">
        <v>92</v>
      </c>
      <c r="AJ85" s="5" t="s">
        <v>1918</v>
      </c>
      <c r="AK85" s="5" t="s">
        <v>1918</v>
      </c>
      <c r="AL85" s="5" t="s">
        <v>1918</v>
      </c>
      <c r="AM85" s="5" t="s">
        <v>1918</v>
      </c>
      <c r="AN85" s="5" t="s">
        <v>1918</v>
      </c>
      <c r="AO85" s="5" t="s">
        <v>1918</v>
      </c>
      <c r="AP85" s="5" t="s">
        <v>1918</v>
      </c>
      <c r="AQ85" s="5" t="s">
        <v>1918</v>
      </c>
      <c r="AR85" s="5" t="s">
        <v>1918</v>
      </c>
      <c r="AS85" s="5" t="s">
        <v>1918</v>
      </c>
      <c r="AT85" s="5" t="s">
        <v>1994</v>
      </c>
      <c r="AU85" s="5">
        <v>2013</v>
      </c>
      <c r="AV85" s="5">
        <v>26</v>
      </c>
      <c r="AW85" s="5" t="s">
        <v>1918</v>
      </c>
      <c r="AX85" s="5" t="s">
        <v>1918</v>
      </c>
      <c r="AY85" s="5" t="s">
        <v>1918</v>
      </c>
      <c r="AZ85" s="5" t="s">
        <v>1918</v>
      </c>
      <c r="BA85" s="5" t="s">
        <v>1918</v>
      </c>
      <c r="BB85" s="5">
        <v>492</v>
      </c>
      <c r="BC85" s="5">
        <v>505</v>
      </c>
      <c r="BD85" s="5" t="s">
        <v>1918</v>
      </c>
      <c r="BE85" s="5" t="s">
        <v>2618</v>
      </c>
      <c r="BF85" s="5">
        <v>0</v>
      </c>
      <c r="BG85" s="5" t="s">
        <v>1918</v>
      </c>
      <c r="BH85" s="5" t="s">
        <v>1918</v>
      </c>
      <c r="BI85" s="5" t="s">
        <v>1918</v>
      </c>
      <c r="BJ85" s="5" t="s">
        <v>1918</v>
      </c>
      <c r="BK85" s="5" t="s">
        <v>1918</v>
      </c>
      <c r="BL85" s="5" t="s">
        <v>1918</v>
      </c>
      <c r="BM85" s="5" t="s">
        <v>1918</v>
      </c>
      <c r="BN85" s="5" t="s">
        <v>1918</v>
      </c>
      <c r="BO85" s="5" t="s">
        <v>1918</v>
      </c>
      <c r="BP85" s="5" t="s">
        <v>1918</v>
      </c>
      <c r="BQ85" s="5" t="s">
        <v>1918</v>
      </c>
      <c r="BR85" s="5" t="s">
        <v>1927</v>
      </c>
      <c r="BS85" s="5" t="s">
        <v>2619</v>
      </c>
      <c r="BT85" s="5">
        <v>0</v>
      </c>
      <c r="BU85">
        <f>COUNTIF('오픈소스&amp;직접수집'!F:F,'wos(corecollection)_260528'!BE85)</f>
        <v>0</v>
      </c>
      <c r="BV85">
        <f>COUNTIF('오픈소스&amp;직접수집'!A:A,'wos(corecollection)_260528'!I85)</f>
        <v>0</v>
      </c>
      <c r="BW85">
        <f t="shared" si="1"/>
        <v>0</v>
      </c>
    </row>
    <row r="86" spans="1:75" x14ac:dyDescent="0.3">
      <c r="A86" s="5" t="s">
        <v>2235</v>
      </c>
      <c r="B86" s="5" t="s">
        <v>2620</v>
      </c>
      <c r="C86" s="5" t="s">
        <v>1918</v>
      </c>
      <c r="D86" s="5" t="s">
        <v>1918</v>
      </c>
      <c r="E86" s="5" t="s">
        <v>1918</v>
      </c>
      <c r="F86" s="5" t="s">
        <v>2621</v>
      </c>
      <c r="G86" s="5" t="s">
        <v>1918</v>
      </c>
      <c r="H86" s="5" t="s">
        <v>1918</v>
      </c>
      <c r="I86" s="5" t="s">
        <v>2622</v>
      </c>
      <c r="J86" s="5" t="s">
        <v>2623</v>
      </c>
      <c r="K86" s="5" t="s">
        <v>1918</v>
      </c>
      <c r="L86" s="5" t="s">
        <v>1918</v>
      </c>
      <c r="M86" s="5" t="s">
        <v>1918</v>
      </c>
      <c r="N86" s="5" t="s">
        <v>1920</v>
      </c>
      <c r="O86" s="5" t="s">
        <v>1918</v>
      </c>
      <c r="P86" s="5" t="s">
        <v>1918</v>
      </c>
      <c r="Q86" s="5" t="s">
        <v>1918</v>
      </c>
      <c r="R86" s="5" t="s">
        <v>1918</v>
      </c>
      <c r="S86" s="5" t="s">
        <v>1918</v>
      </c>
      <c r="T86" s="5" t="s">
        <v>1918</v>
      </c>
      <c r="U86" s="5" t="s">
        <v>1918</v>
      </c>
      <c r="V86" s="5" t="s">
        <v>2624</v>
      </c>
      <c r="W86" s="5" t="s">
        <v>2625</v>
      </c>
      <c r="X86" s="5" t="s">
        <v>1918</v>
      </c>
      <c r="Y86" s="5" t="s">
        <v>2626</v>
      </c>
      <c r="Z86" s="5" t="s">
        <v>2627</v>
      </c>
      <c r="AA86" s="5" t="s">
        <v>1918</v>
      </c>
      <c r="AB86" s="5" t="s">
        <v>1918</v>
      </c>
      <c r="AC86" s="5" t="s">
        <v>1918</v>
      </c>
      <c r="AD86" s="5" t="s">
        <v>1918</v>
      </c>
      <c r="AE86" s="5" t="s">
        <v>1918</v>
      </c>
      <c r="AF86" s="5" t="s">
        <v>1918</v>
      </c>
      <c r="AG86" s="5">
        <v>61</v>
      </c>
      <c r="AH86" s="5">
        <v>57</v>
      </c>
      <c r="AI86" s="5">
        <v>63</v>
      </c>
      <c r="AJ86" s="5" t="s">
        <v>1918</v>
      </c>
      <c r="AK86" s="5" t="s">
        <v>1918</v>
      </c>
      <c r="AL86" s="5" t="s">
        <v>1918</v>
      </c>
      <c r="AM86" s="5" t="s">
        <v>1918</v>
      </c>
      <c r="AN86" s="5" t="s">
        <v>1918</v>
      </c>
      <c r="AO86" s="5" t="s">
        <v>1918</v>
      </c>
      <c r="AP86" s="5" t="s">
        <v>1918</v>
      </c>
      <c r="AQ86" s="5" t="s">
        <v>1918</v>
      </c>
      <c r="AR86" s="5" t="s">
        <v>1918</v>
      </c>
      <c r="AS86" s="5" t="s">
        <v>1918</v>
      </c>
      <c r="AT86" s="5" t="s">
        <v>2122</v>
      </c>
      <c r="AU86" s="5">
        <v>2013</v>
      </c>
      <c r="AV86" s="5">
        <v>30</v>
      </c>
      <c r="AW86" s="5">
        <v>2</v>
      </c>
      <c r="AX86" s="5" t="s">
        <v>1918</v>
      </c>
      <c r="AY86" s="5" t="s">
        <v>1918</v>
      </c>
      <c r="AZ86" s="5" t="s">
        <v>1918</v>
      </c>
      <c r="BA86" s="5" t="s">
        <v>1918</v>
      </c>
      <c r="BB86" s="5">
        <v>182</v>
      </c>
      <c r="BC86" s="5">
        <v>193</v>
      </c>
      <c r="BD86" s="5" t="s">
        <v>1918</v>
      </c>
      <c r="BE86" s="5" t="s">
        <v>2628</v>
      </c>
      <c r="BF86" s="5">
        <v>0</v>
      </c>
      <c r="BG86" s="5" t="s">
        <v>1918</v>
      </c>
      <c r="BH86" s="5" t="s">
        <v>1918</v>
      </c>
      <c r="BI86" s="5" t="s">
        <v>1918</v>
      </c>
      <c r="BJ86" s="5" t="s">
        <v>1918</v>
      </c>
      <c r="BK86" s="5" t="s">
        <v>1918</v>
      </c>
      <c r="BL86" s="5" t="s">
        <v>1918</v>
      </c>
      <c r="BM86" s="5" t="s">
        <v>1918</v>
      </c>
      <c r="BN86" s="5" t="s">
        <v>1918</v>
      </c>
      <c r="BO86" s="5" t="s">
        <v>1918</v>
      </c>
      <c r="BP86" s="5" t="s">
        <v>1918</v>
      </c>
      <c r="BQ86" s="5" t="s">
        <v>1918</v>
      </c>
      <c r="BR86" s="5" t="s">
        <v>1927</v>
      </c>
      <c r="BS86" s="5" t="s">
        <v>2629</v>
      </c>
      <c r="BT86" s="5">
        <v>0</v>
      </c>
      <c r="BU86">
        <f>COUNTIF('오픈소스&amp;직접수집'!F:F,'wos(corecollection)_260528'!BE86)</f>
        <v>0</v>
      </c>
      <c r="BV86">
        <f>COUNTIF('오픈소스&amp;직접수집'!A:A,'wos(corecollection)_260528'!I86)</f>
        <v>0</v>
      </c>
      <c r="BW86">
        <f t="shared" si="1"/>
        <v>0</v>
      </c>
    </row>
    <row r="87" spans="1:75" x14ac:dyDescent="0.3">
      <c r="A87" s="5" t="s">
        <v>2235</v>
      </c>
      <c r="B87" s="5" t="s">
        <v>2630</v>
      </c>
      <c r="C87" s="5" t="s">
        <v>1918</v>
      </c>
      <c r="D87" s="5" t="s">
        <v>1918</v>
      </c>
      <c r="E87" s="5" t="s">
        <v>1918</v>
      </c>
      <c r="F87" s="5" t="s">
        <v>2631</v>
      </c>
      <c r="G87" s="5" t="s">
        <v>1918</v>
      </c>
      <c r="H87" s="5" t="s">
        <v>1918</v>
      </c>
      <c r="I87" s="5" t="s">
        <v>2632</v>
      </c>
      <c r="J87" s="5" t="s">
        <v>2211</v>
      </c>
      <c r="K87" s="5" t="s">
        <v>1918</v>
      </c>
      <c r="L87" s="5" t="s">
        <v>1918</v>
      </c>
      <c r="M87" s="5" t="s">
        <v>1918</v>
      </c>
      <c r="N87" s="5" t="s">
        <v>1920</v>
      </c>
      <c r="O87" s="5" t="s">
        <v>1918</v>
      </c>
      <c r="P87" s="5" t="s">
        <v>1918</v>
      </c>
      <c r="Q87" s="5" t="s">
        <v>1918</v>
      </c>
      <c r="R87" s="5" t="s">
        <v>1918</v>
      </c>
      <c r="S87" s="5" t="s">
        <v>1918</v>
      </c>
      <c r="T87" s="5" t="s">
        <v>1918</v>
      </c>
      <c r="U87" s="5" t="s">
        <v>1918</v>
      </c>
      <c r="V87" s="5" t="s">
        <v>2633</v>
      </c>
      <c r="W87" s="5" t="s">
        <v>2634</v>
      </c>
      <c r="X87" s="5" t="s">
        <v>1918</v>
      </c>
      <c r="Y87" s="5" t="s">
        <v>2635</v>
      </c>
      <c r="Z87" s="5" t="s">
        <v>2636</v>
      </c>
      <c r="AA87" s="5" t="s">
        <v>1918</v>
      </c>
      <c r="AB87" s="5" t="s">
        <v>1918</v>
      </c>
      <c r="AC87" s="5" t="s">
        <v>1918</v>
      </c>
      <c r="AD87" s="5" t="s">
        <v>1918</v>
      </c>
      <c r="AE87" s="5" t="s">
        <v>1918</v>
      </c>
      <c r="AF87" s="5" t="s">
        <v>1918</v>
      </c>
      <c r="AG87" s="5">
        <v>24</v>
      </c>
      <c r="AH87" s="5">
        <v>1</v>
      </c>
      <c r="AI87" s="5">
        <v>1</v>
      </c>
      <c r="AJ87" s="5" t="s">
        <v>1918</v>
      </c>
      <c r="AK87" s="5" t="s">
        <v>1918</v>
      </c>
      <c r="AL87" s="5" t="s">
        <v>1918</v>
      </c>
      <c r="AM87" s="5" t="s">
        <v>1918</v>
      </c>
      <c r="AN87" s="5" t="s">
        <v>1918</v>
      </c>
      <c r="AO87" s="5" t="s">
        <v>1918</v>
      </c>
      <c r="AP87" s="5" t="s">
        <v>1918</v>
      </c>
      <c r="AQ87" s="5" t="s">
        <v>1918</v>
      </c>
      <c r="AR87" s="5" t="s">
        <v>1918</v>
      </c>
      <c r="AS87" s="5" t="s">
        <v>1918</v>
      </c>
      <c r="AT87" s="5" t="s">
        <v>1918</v>
      </c>
      <c r="AU87" s="5">
        <v>2013</v>
      </c>
      <c r="AV87" s="5">
        <v>42</v>
      </c>
      <c r="AW87" s="5">
        <v>6</v>
      </c>
      <c r="AX87" s="5" t="s">
        <v>1918</v>
      </c>
      <c r="AY87" s="5" t="s">
        <v>1918</v>
      </c>
      <c r="AZ87" s="5" t="s">
        <v>1918</v>
      </c>
      <c r="BA87" s="5" t="s">
        <v>1918</v>
      </c>
      <c r="BB87" s="5">
        <v>955</v>
      </c>
      <c r="BC87" s="5">
        <v>961</v>
      </c>
      <c r="BD87" s="5" t="s">
        <v>1918</v>
      </c>
      <c r="BE87" s="5" t="s">
        <v>1801</v>
      </c>
      <c r="BF87" s="5">
        <v>0</v>
      </c>
      <c r="BG87" s="5" t="s">
        <v>1918</v>
      </c>
      <c r="BH87" s="5" t="s">
        <v>1918</v>
      </c>
      <c r="BI87" s="5" t="s">
        <v>1918</v>
      </c>
      <c r="BJ87" s="5" t="s">
        <v>1918</v>
      </c>
      <c r="BK87" s="5" t="s">
        <v>1918</v>
      </c>
      <c r="BL87" s="5" t="s">
        <v>1918</v>
      </c>
      <c r="BM87" s="5" t="s">
        <v>1918</v>
      </c>
      <c r="BN87" s="5" t="s">
        <v>1918</v>
      </c>
      <c r="BO87" s="5" t="s">
        <v>1918</v>
      </c>
      <c r="BP87" s="5" t="s">
        <v>1918</v>
      </c>
      <c r="BQ87" s="5" t="s">
        <v>1918</v>
      </c>
      <c r="BR87" s="5" t="s">
        <v>1927</v>
      </c>
      <c r="BS87" s="5" t="s">
        <v>2637</v>
      </c>
      <c r="BT87" s="5">
        <v>0</v>
      </c>
      <c r="BU87">
        <f>COUNTIF('오픈소스&amp;직접수집'!F:F,'wos(corecollection)_260528'!BE87)</f>
        <v>0</v>
      </c>
      <c r="BV87">
        <f>COUNTIF('오픈소스&amp;직접수집'!A:A,'wos(corecollection)_260528'!I87)</f>
        <v>0</v>
      </c>
      <c r="BW87">
        <f t="shared" si="1"/>
        <v>0</v>
      </c>
    </row>
    <row r="88" spans="1:75" x14ac:dyDescent="0.3">
      <c r="A88" s="5" t="s">
        <v>2235</v>
      </c>
      <c r="B88" s="5" t="s">
        <v>2638</v>
      </c>
      <c r="C88" s="5" t="s">
        <v>1918</v>
      </c>
      <c r="D88" s="5" t="s">
        <v>2639</v>
      </c>
      <c r="E88" s="5" t="s">
        <v>1918</v>
      </c>
      <c r="F88" s="5" t="s">
        <v>2640</v>
      </c>
      <c r="G88" s="5" t="s">
        <v>1918</v>
      </c>
      <c r="H88" s="5" t="s">
        <v>1918</v>
      </c>
      <c r="I88" s="5" t="s">
        <v>2641</v>
      </c>
      <c r="J88" s="5" t="s">
        <v>2642</v>
      </c>
      <c r="K88" s="5" t="s">
        <v>1918</v>
      </c>
      <c r="L88" s="5" t="s">
        <v>1918</v>
      </c>
      <c r="M88" s="5" t="s">
        <v>1918</v>
      </c>
      <c r="N88" s="5" t="s">
        <v>2549</v>
      </c>
      <c r="O88" s="5" t="s">
        <v>2643</v>
      </c>
      <c r="P88" s="5" t="s">
        <v>2644</v>
      </c>
      <c r="Q88" s="5" t="s">
        <v>2645</v>
      </c>
      <c r="R88" s="5" t="s">
        <v>1918</v>
      </c>
      <c r="S88" s="5" t="s">
        <v>1918</v>
      </c>
      <c r="T88" s="5" t="s">
        <v>1918</v>
      </c>
      <c r="U88" s="5" t="s">
        <v>1918</v>
      </c>
      <c r="V88" s="5" t="s">
        <v>2646</v>
      </c>
      <c r="W88" s="5" t="s">
        <v>2647</v>
      </c>
      <c r="X88" s="5" t="s">
        <v>1918</v>
      </c>
      <c r="Y88" s="5" t="s">
        <v>2648</v>
      </c>
      <c r="Z88" s="5" t="s">
        <v>2649</v>
      </c>
      <c r="AA88" s="5" t="s">
        <v>1918</v>
      </c>
      <c r="AB88" s="5" t="s">
        <v>1918</v>
      </c>
      <c r="AC88" s="5" t="s">
        <v>1918</v>
      </c>
      <c r="AD88" s="5" t="s">
        <v>1918</v>
      </c>
      <c r="AE88" s="5" t="s">
        <v>1918</v>
      </c>
      <c r="AF88" s="5" t="s">
        <v>1918</v>
      </c>
      <c r="AG88" s="5">
        <v>22</v>
      </c>
      <c r="AH88" s="5">
        <v>1</v>
      </c>
      <c r="AI88" s="5">
        <v>1</v>
      </c>
      <c r="AJ88" s="5" t="s">
        <v>1918</v>
      </c>
      <c r="AK88" s="5" t="s">
        <v>1918</v>
      </c>
      <c r="AL88" s="5" t="s">
        <v>1918</v>
      </c>
      <c r="AM88" s="5" t="s">
        <v>1918</v>
      </c>
      <c r="AN88" s="5" t="s">
        <v>1918</v>
      </c>
      <c r="AO88" s="5" t="s">
        <v>1918</v>
      </c>
      <c r="AP88" s="5" t="s">
        <v>1918</v>
      </c>
      <c r="AQ88" s="5" t="s">
        <v>1918</v>
      </c>
      <c r="AR88" s="5" t="s">
        <v>1918</v>
      </c>
      <c r="AS88" s="5" t="s">
        <v>1918</v>
      </c>
      <c r="AT88" s="5" t="s">
        <v>1918</v>
      </c>
      <c r="AU88" s="5">
        <v>2012</v>
      </c>
      <c r="AV88" s="5" t="s">
        <v>1918</v>
      </c>
      <c r="AW88" s="5" t="s">
        <v>1918</v>
      </c>
      <c r="AX88" s="5" t="s">
        <v>1918</v>
      </c>
      <c r="AY88" s="5" t="s">
        <v>1918</v>
      </c>
      <c r="AZ88" s="5" t="s">
        <v>1918</v>
      </c>
      <c r="BA88" s="5" t="s">
        <v>1918</v>
      </c>
      <c r="BB88" s="5">
        <v>367</v>
      </c>
      <c r="BC88" s="5">
        <v>370</v>
      </c>
      <c r="BD88" s="5" t="s">
        <v>1918</v>
      </c>
      <c r="BE88" s="5" t="s">
        <v>1918</v>
      </c>
      <c r="BF88" s="5" t="s">
        <v>1918</v>
      </c>
      <c r="BG88" s="5" t="s">
        <v>1918</v>
      </c>
      <c r="BH88" s="5" t="s">
        <v>1918</v>
      </c>
      <c r="BI88" s="5" t="s">
        <v>1918</v>
      </c>
      <c r="BJ88" s="5" t="s">
        <v>1918</v>
      </c>
      <c r="BK88" s="5" t="s">
        <v>1918</v>
      </c>
      <c r="BL88" s="5" t="s">
        <v>1918</v>
      </c>
      <c r="BM88" s="5" t="s">
        <v>1918</v>
      </c>
      <c r="BN88" s="5" t="s">
        <v>1918</v>
      </c>
      <c r="BO88" s="5" t="s">
        <v>1918</v>
      </c>
      <c r="BP88" s="5" t="s">
        <v>1918</v>
      </c>
      <c r="BQ88" s="5" t="s">
        <v>1918</v>
      </c>
      <c r="BR88" s="5" t="s">
        <v>1927</v>
      </c>
      <c r="BS88" s="5" t="s">
        <v>2650</v>
      </c>
      <c r="BT88" s="5">
        <v>0</v>
      </c>
      <c r="BU88" t="s">
        <v>2835</v>
      </c>
      <c r="BV88">
        <f>COUNTIF('오픈소스&amp;직접수집'!A:A,'wos(corecollection)_260528'!I88)</f>
        <v>0</v>
      </c>
      <c r="BW88">
        <f t="shared" si="1"/>
        <v>0</v>
      </c>
    </row>
    <row r="89" spans="1:75" x14ac:dyDescent="0.3">
      <c r="A89" s="5" t="s">
        <v>2235</v>
      </c>
      <c r="B89" s="5" t="s">
        <v>2651</v>
      </c>
      <c r="C89" s="5" t="s">
        <v>1918</v>
      </c>
      <c r="D89" s="5" t="s">
        <v>1918</v>
      </c>
      <c r="E89" s="5" t="s">
        <v>1918</v>
      </c>
      <c r="F89" s="5" t="s">
        <v>2652</v>
      </c>
      <c r="G89" s="5" t="s">
        <v>1918</v>
      </c>
      <c r="H89" s="5" t="s">
        <v>1918</v>
      </c>
      <c r="I89" s="5" t="s">
        <v>2653</v>
      </c>
      <c r="J89" s="5" t="s">
        <v>2654</v>
      </c>
      <c r="K89" s="5" t="s">
        <v>1918</v>
      </c>
      <c r="L89" s="5" t="s">
        <v>1918</v>
      </c>
      <c r="M89" s="5" t="s">
        <v>1918</v>
      </c>
      <c r="N89" s="5" t="s">
        <v>1920</v>
      </c>
      <c r="O89" s="5" t="s">
        <v>1918</v>
      </c>
      <c r="P89" s="5" t="s">
        <v>1918</v>
      </c>
      <c r="Q89" s="5" t="s">
        <v>1918</v>
      </c>
      <c r="R89" s="5" t="s">
        <v>1918</v>
      </c>
      <c r="S89" s="5" t="s">
        <v>1918</v>
      </c>
      <c r="T89" s="5" t="s">
        <v>1918</v>
      </c>
      <c r="U89" s="5" t="s">
        <v>1918</v>
      </c>
      <c r="V89" s="5" t="s">
        <v>2655</v>
      </c>
      <c r="W89" s="5" t="s">
        <v>2656</v>
      </c>
      <c r="X89" s="5" t="s">
        <v>1918</v>
      </c>
      <c r="Y89" s="5" t="s">
        <v>2657</v>
      </c>
      <c r="Z89" s="5" t="s">
        <v>2598</v>
      </c>
      <c r="AA89" s="5" t="s">
        <v>1918</v>
      </c>
      <c r="AB89" s="5" t="s">
        <v>1918</v>
      </c>
      <c r="AC89" s="5" t="s">
        <v>1918</v>
      </c>
      <c r="AD89" s="5" t="s">
        <v>1918</v>
      </c>
      <c r="AE89" s="5" t="s">
        <v>1918</v>
      </c>
      <c r="AF89" s="5" t="s">
        <v>1918</v>
      </c>
      <c r="AG89" s="5">
        <v>45</v>
      </c>
      <c r="AH89" s="5">
        <v>77</v>
      </c>
      <c r="AI89" s="5">
        <v>98</v>
      </c>
      <c r="AJ89" s="5" t="s">
        <v>1918</v>
      </c>
      <c r="AK89" s="5" t="s">
        <v>1918</v>
      </c>
      <c r="AL89" s="5" t="s">
        <v>1918</v>
      </c>
      <c r="AM89" s="5" t="s">
        <v>1918</v>
      </c>
      <c r="AN89" s="5" t="s">
        <v>1918</v>
      </c>
      <c r="AO89" s="5" t="s">
        <v>1918</v>
      </c>
      <c r="AP89" s="5" t="s">
        <v>1918</v>
      </c>
      <c r="AQ89" s="5" t="s">
        <v>1918</v>
      </c>
      <c r="AR89" s="5" t="s">
        <v>1918</v>
      </c>
      <c r="AS89" s="5" t="s">
        <v>1918</v>
      </c>
      <c r="AT89" s="5" t="s">
        <v>1918</v>
      </c>
      <c r="AU89" s="5">
        <v>2011</v>
      </c>
      <c r="AV89" s="5">
        <v>29</v>
      </c>
      <c r="AW89" s="5">
        <v>2</v>
      </c>
      <c r="AX89" s="5" t="s">
        <v>1918</v>
      </c>
      <c r="AY89" s="5" t="s">
        <v>1918</v>
      </c>
      <c r="AZ89" s="5" t="s">
        <v>1918</v>
      </c>
      <c r="BA89" s="5" t="s">
        <v>1918</v>
      </c>
      <c r="BB89" s="5">
        <v>145</v>
      </c>
      <c r="BC89" s="5">
        <v>162</v>
      </c>
      <c r="BD89" s="5" t="s">
        <v>1918</v>
      </c>
      <c r="BE89" s="5" t="s">
        <v>2658</v>
      </c>
      <c r="BF89" s="5">
        <v>0</v>
      </c>
      <c r="BG89" s="5" t="s">
        <v>1918</v>
      </c>
      <c r="BH89" s="5" t="s">
        <v>1918</v>
      </c>
      <c r="BI89" s="5" t="s">
        <v>1918</v>
      </c>
      <c r="BJ89" s="5" t="s">
        <v>1918</v>
      </c>
      <c r="BK89" s="5" t="s">
        <v>1918</v>
      </c>
      <c r="BL89" s="5" t="s">
        <v>1918</v>
      </c>
      <c r="BM89" s="5" t="s">
        <v>1918</v>
      </c>
      <c r="BN89" s="5" t="s">
        <v>1918</v>
      </c>
      <c r="BO89" s="5" t="s">
        <v>1918</v>
      </c>
      <c r="BP89" s="5" t="s">
        <v>1918</v>
      </c>
      <c r="BQ89" s="5" t="s">
        <v>1918</v>
      </c>
      <c r="BR89" s="5" t="s">
        <v>1927</v>
      </c>
      <c r="BS89" s="5" t="s">
        <v>2659</v>
      </c>
      <c r="BT89" s="5">
        <v>0</v>
      </c>
      <c r="BU89">
        <f>COUNTIF('오픈소스&amp;직접수집'!F:F,'wos(corecollection)_260528'!BE89)</f>
        <v>0</v>
      </c>
      <c r="BV89">
        <f>COUNTIF('오픈소스&amp;직접수집'!A:A,'wos(corecollection)_260528'!I89)</f>
        <v>0</v>
      </c>
      <c r="BW89">
        <f t="shared" si="1"/>
        <v>0</v>
      </c>
    </row>
    <row r="90" spans="1:75" x14ac:dyDescent="0.3">
      <c r="A90" s="5" t="s">
        <v>2235</v>
      </c>
      <c r="B90" s="5" t="s">
        <v>2660</v>
      </c>
      <c r="C90" s="5" t="s">
        <v>1918</v>
      </c>
      <c r="D90" s="5" t="s">
        <v>1918</v>
      </c>
      <c r="E90" s="5" t="s">
        <v>1918</v>
      </c>
      <c r="F90" s="5" t="s">
        <v>2661</v>
      </c>
      <c r="G90" s="5" t="s">
        <v>1918</v>
      </c>
      <c r="H90" s="5" t="s">
        <v>1918</v>
      </c>
      <c r="I90" s="5" t="s">
        <v>2662</v>
      </c>
      <c r="J90" s="5" t="s">
        <v>2663</v>
      </c>
      <c r="K90" s="5" t="s">
        <v>1918</v>
      </c>
      <c r="L90" s="5" t="s">
        <v>1918</v>
      </c>
      <c r="M90" s="5" t="s">
        <v>1918</v>
      </c>
      <c r="N90" s="5" t="s">
        <v>1920</v>
      </c>
      <c r="O90" s="5" t="s">
        <v>1918</v>
      </c>
      <c r="P90" s="5" t="s">
        <v>1918</v>
      </c>
      <c r="Q90" s="5" t="s">
        <v>1918</v>
      </c>
      <c r="R90" s="5" t="s">
        <v>1918</v>
      </c>
      <c r="S90" s="5" t="s">
        <v>1918</v>
      </c>
      <c r="T90" s="5" t="s">
        <v>1918</v>
      </c>
      <c r="U90" s="5" t="s">
        <v>1918</v>
      </c>
      <c r="V90" s="5" t="s">
        <v>2664</v>
      </c>
      <c r="W90" s="5" t="s">
        <v>2665</v>
      </c>
      <c r="X90" s="5" t="s">
        <v>1918</v>
      </c>
      <c r="Y90" s="5" t="s">
        <v>2666</v>
      </c>
      <c r="Z90" s="5" t="s">
        <v>2667</v>
      </c>
      <c r="AA90" s="5" t="s">
        <v>1918</v>
      </c>
      <c r="AB90" s="5" t="s">
        <v>1918</v>
      </c>
      <c r="AC90" s="5" t="s">
        <v>1918</v>
      </c>
      <c r="AD90" s="5" t="s">
        <v>1918</v>
      </c>
      <c r="AE90" s="5" t="s">
        <v>1918</v>
      </c>
      <c r="AF90" s="5" t="s">
        <v>1918</v>
      </c>
      <c r="AG90" s="5">
        <v>20</v>
      </c>
      <c r="AH90" s="5">
        <v>7</v>
      </c>
      <c r="AI90" s="5">
        <v>8</v>
      </c>
      <c r="AJ90" s="5" t="s">
        <v>1918</v>
      </c>
      <c r="AK90" s="5" t="s">
        <v>1918</v>
      </c>
      <c r="AL90" s="5" t="s">
        <v>1918</v>
      </c>
      <c r="AM90" s="5" t="s">
        <v>1918</v>
      </c>
      <c r="AN90" s="5" t="s">
        <v>1918</v>
      </c>
      <c r="AO90" s="5" t="s">
        <v>1918</v>
      </c>
      <c r="AP90" s="5" t="s">
        <v>1918</v>
      </c>
      <c r="AQ90" s="5" t="s">
        <v>1918</v>
      </c>
      <c r="AR90" s="5" t="s">
        <v>1918</v>
      </c>
      <c r="AS90" s="5" t="s">
        <v>1918</v>
      </c>
      <c r="AT90" s="5" t="s">
        <v>1918</v>
      </c>
      <c r="AU90" s="5">
        <v>2008</v>
      </c>
      <c r="AV90" s="5">
        <v>6</v>
      </c>
      <c r="AW90" s="5">
        <v>3</v>
      </c>
      <c r="AX90" s="5" t="s">
        <v>1918</v>
      </c>
      <c r="AY90" s="5" t="s">
        <v>1918</v>
      </c>
      <c r="AZ90" s="5" t="s">
        <v>2189</v>
      </c>
      <c r="BA90" s="5" t="s">
        <v>1918</v>
      </c>
      <c r="BB90" s="5">
        <v>291</v>
      </c>
      <c r="BC90" s="5">
        <v>320</v>
      </c>
      <c r="BD90" s="5" t="s">
        <v>1918</v>
      </c>
      <c r="BE90" s="5" t="s">
        <v>1918</v>
      </c>
      <c r="BF90" s="5" t="s">
        <v>1918</v>
      </c>
      <c r="BG90" s="5" t="s">
        <v>1918</v>
      </c>
      <c r="BH90" s="5" t="s">
        <v>1918</v>
      </c>
      <c r="BI90" s="5" t="s">
        <v>1918</v>
      </c>
      <c r="BJ90" s="5" t="s">
        <v>1918</v>
      </c>
      <c r="BK90" s="5" t="s">
        <v>1918</v>
      </c>
      <c r="BL90" s="5" t="s">
        <v>1918</v>
      </c>
      <c r="BM90" s="5" t="s">
        <v>1918</v>
      </c>
      <c r="BN90" s="5" t="s">
        <v>1918</v>
      </c>
      <c r="BO90" s="5" t="s">
        <v>1918</v>
      </c>
      <c r="BP90" s="5" t="s">
        <v>1918</v>
      </c>
      <c r="BQ90" s="5" t="s">
        <v>1918</v>
      </c>
      <c r="BR90" s="5" t="s">
        <v>1927</v>
      </c>
      <c r="BS90" s="5" t="s">
        <v>2668</v>
      </c>
      <c r="BT90" s="5">
        <v>0</v>
      </c>
      <c r="BU90" t="s">
        <v>2835</v>
      </c>
      <c r="BV90">
        <f>COUNTIF('오픈소스&amp;직접수집'!A:A,'wos(corecollection)_260528'!I90)</f>
        <v>0</v>
      </c>
      <c r="BW90">
        <f t="shared" si="1"/>
        <v>0</v>
      </c>
    </row>
    <row r="91" spans="1:75" x14ac:dyDescent="0.3">
      <c r="A91" s="5" t="s">
        <v>2235</v>
      </c>
      <c r="B91" s="5" t="s">
        <v>2669</v>
      </c>
      <c r="C91" s="5" t="s">
        <v>1918</v>
      </c>
      <c r="D91" s="5" t="s">
        <v>1918</v>
      </c>
      <c r="E91" s="5" t="s">
        <v>1918</v>
      </c>
      <c r="F91" s="5" t="s">
        <v>2670</v>
      </c>
      <c r="G91" s="5" t="s">
        <v>1918</v>
      </c>
      <c r="H91" s="5" t="s">
        <v>1918</v>
      </c>
      <c r="I91" s="5" t="s">
        <v>1809</v>
      </c>
      <c r="J91" s="5" t="s">
        <v>2671</v>
      </c>
      <c r="K91" s="5" t="s">
        <v>1918</v>
      </c>
      <c r="L91" s="5" t="s">
        <v>1918</v>
      </c>
      <c r="M91" s="5" t="s">
        <v>1918</v>
      </c>
      <c r="N91" s="5" t="s">
        <v>1920</v>
      </c>
      <c r="O91" s="5" t="s">
        <v>1918</v>
      </c>
      <c r="P91" s="5" t="s">
        <v>1918</v>
      </c>
      <c r="Q91" s="5" t="s">
        <v>1918</v>
      </c>
      <c r="R91" s="5" t="s">
        <v>1918</v>
      </c>
      <c r="S91" s="5" t="s">
        <v>1918</v>
      </c>
      <c r="T91" s="5" t="s">
        <v>1918</v>
      </c>
      <c r="U91" s="5" t="s">
        <v>1918</v>
      </c>
      <c r="V91" s="5" t="s">
        <v>2672</v>
      </c>
      <c r="W91" s="5" t="s">
        <v>2673</v>
      </c>
      <c r="X91" s="5" t="s">
        <v>1918</v>
      </c>
      <c r="Y91" s="5" t="s">
        <v>2674</v>
      </c>
      <c r="Z91" s="5" t="s">
        <v>2675</v>
      </c>
      <c r="AA91" s="5" t="s">
        <v>1918</v>
      </c>
      <c r="AB91" s="5" t="s">
        <v>1918</v>
      </c>
      <c r="AC91" s="5" t="s">
        <v>1918</v>
      </c>
      <c r="AD91" s="5" t="s">
        <v>1918</v>
      </c>
      <c r="AE91" s="5" t="s">
        <v>1918</v>
      </c>
      <c r="AF91" s="5" t="s">
        <v>1918</v>
      </c>
      <c r="AG91" s="5">
        <v>49</v>
      </c>
      <c r="AH91" s="5">
        <v>13</v>
      </c>
      <c r="AI91" s="5">
        <v>18</v>
      </c>
      <c r="AJ91" s="5" t="s">
        <v>1918</v>
      </c>
      <c r="AK91" s="5" t="s">
        <v>1918</v>
      </c>
      <c r="AL91" s="5" t="s">
        <v>1918</v>
      </c>
      <c r="AM91" s="5" t="s">
        <v>1918</v>
      </c>
      <c r="AN91" s="5" t="s">
        <v>1918</v>
      </c>
      <c r="AO91" s="5" t="s">
        <v>1918</v>
      </c>
      <c r="AP91" s="5" t="s">
        <v>1918</v>
      </c>
      <c r="AQ91" s="5" t="s">
        <v>1918</v>
      </c>
      <c r="AR91" s="5" t="s">
        <v>1918</v>
      </c>
      <c r="AS91" s="5" t="s">
        <v>1918</v>
      </c>
      <c r="AT91" s="5" t="s">
        <v>1918</v>
      </c>
      <c r="AU91" s="5">
        <v>2008</v>
      </c>
      <c r="AV91" s="5">
        <v>12</v>
      </c>
      <c r="AW91" s="5">
        <v>4</v>
      </c>
      <c r="AX91" s="5" t="s">
        <v>1918</v>
      </c>
      <c r="AY91" s="5" t="s">
        <v>1918</v>
      </c>
      <c r="AZ91" s="5" t="s">
        <v>1918</v>
      </c>
      <c r="BA91" s="5" t="s">
        <v>1918</v>
      </c>
      <c r="BB91" s="5">
        <v>545</v>
      </c>
      <c r="BC91" s="5" t="s">
        <v>2676</v>
      </c>
      <c r="BD91" s="5" t="s">
        <v>1918</v>
      </c>
      <c r="BE91" s="5" t="s">
        <v>1810</v>
      </c>
      <c r="BF91" s="5">
        <v>0</v>
      </c>
      <c r="BG91" s="5" t="s">
        <v>1918</v>
      </c>
      <c r="BH91" s="5" t="s">
        <v>1918</v>
      </c>
      <c r="BI91" s="5" t="s">
        <v>1918</v>
      </c>
      <c r="BJ91" s="5" t="s">
        <v>1918</v>
      </c>
      <c r="BK91" s="5" t="s">
        <v>1918</v>
      </c>
      <c r="BL91" s="5" t="s">
        <v>1918</v>
      </c>
      <c r="BM91" s="5" t="s">
        <v>1918</v>
      </c>
      <c r="BN91" s="5" t="s">
        <v>1918</v>
      </c>
      <c r="BO91" s="5" t="s">
        <v>1918</v>
      </c>
      <c r="BP91" s="5" t="s">
        <v>1918</v>
      </c>
      <c r="BQ91" s="5" t="s">
        <v>1918</v>
      </c>
      <c r="BR91" s="5" t="s">
        <v>1927</v>
      </c>
      <c r="BS91" s="5" t="s">
        <v>2677</v>
      </c>
      <c r="BT91" s="5">
        <v>0</v>
      </c>
      <c r="BU91">
        <f>COUNTIF('오픈소스&amp;직접수집'!F:F,'wos(corecollection)_260528'!BE91)</f>
        <v>0</v>
      </c>
      <c r="BV91">
        <f>COUNTIF('오픈소스&amp;직접수집'!A:A,'wos(corecollection)_260528'!I91)</f>
        <v>0</v>
      </c>
      <c r="BW91">
        <f t="shared" si="1"/>
        <v>0</v>
      </c>
    </row>
    <row r="92" spans="1:75" x14ac:dyDescent="0.3">
      <c r="A92" s="5" t="s">
        <v>2235</v>
      </c>
      <c r="B92" s="5" t="s">
        <v>2678</v>
      </c>
      <c r="C92" s="5" t="s">
        <v>1918</v>
      </c>
      <c r="D92" s="5" t="s">
        <v>1918</v>
      </c>
      <c r="E92" s="5" t="s">
        <v>1918</v>
      </c>
      <c r="F92" s="5" t="s">
        <v>2679</v>
      </c>
      <c r="G92" s="5" t="s">
        <v>1918</v>
      </c>
      <c r="H92" s="5" t="s">
        <v>1918</v>
      </c>
      <c r="I92" s="5" t="s">
        <v>2680</v>
      </c>
      <c r="J92" s="5" t="s">
        <v>2681</v>
      </c>
      <c r="K92" s="5" t="s">
        <v>1918</v>
      </c>
      <c r="L92" s="5" t="s">
        <v>1918</v>
      </c>
      <c r="M92" s="5" t="s">
        <v>1918</v>
      </c>
      <c r="N92" s="5" t="s">
        <v>1920</v>
      </c>
      <c r="O92" s="5" t="s">
        <v>1918</v>
      </c>
      <c r="P92" s="5" t="s">
        <v>1918</v>
      </c>
      <c r="Q92" s="5" t="s">
        <v>1918</v>
      </c>
      <c r="R92" s="5" t="s">
        <v>1918</v>
      </c>
      <c r="S92" s="5" t="s">
        <v>1918</v>
      </c>
      <c r="T92" s="5" t="s">
        <v>1918</v>
      </c>
      <c r="U92" s="5" t="s">
        <v>1918</v>
      </c>
      <c r="V92" s="5" t="s">
        <v>2682</v>
      </c>
      <c r="W92" s="5" t="s">
        <v>2683</v>
      </c>
      <c r="X92" s="5" t="s">
        <v>1918</v>
      </c>
      <c r="Y92" s="5" t="s">
        <v>2684</v>
      </c>
      <c r="Z92" s="5" t="s">
        <v>2685</v>
      </c>
      <c r="AA92" s="5" t="s">
        <v>1918</v>
      </c>
      <c r="AB92" s="5" t="s">
        <v>1918</v>
      </c>
      <c r="AC92" s="5" t="s">
        <v>1918</v>
      </c>
      <c r="AD92" s="5" t="s">
        <v>1918</v>
      </c>
      <c r="AE92" s="5" t="s">
        <v>1918</v>
      </c>
      <c r="AF92" s="5" t="s">
        <v>1918</v>
      </c>
      <c r="AG92" s="5">
        <v>55</v>
      </c>
      <c r="AH92" s="5">
        <v>195</v>
      </c>
      <c r="AI92" s="5">
        <v>242</v>
      </c>
      <c r="AJ92" s="5" t="s">
        <v>1918</v>
      </c>
      <c r="AK92" s="5" t="s">
        <v>1918</v>
      </c>
      <c r="AL92" s="5" t="s">
        <v>1918</v>
      </c>
      <c r="AM92" s="5" t="s">
        <v>1918</v>
      </c>
      <c r="AN92" s="5" t="s">
        <v>1918</v>
      </c>
      <c r="AO92" s="5" t="s">
        <v>1918</v>
      </c>
      <c r="AP92" s="5" t="s">
        <v>1918</v>
      </c>
      <c r="AQ92" s="5" t="s">
        <v>1918</v>
      </c>
      <c r="AR92" s="5" t="s">
        <v>1918</v>
      </c>
      <c r="AS92" s="5" t="s">
        <v>1918</v>
      </c>
      <c r="AT92" s="5" t="s">
        <v>2139</v>
      </c>
      <c r="AU92" s="5">
        <v>2007</v>
      </c>
      <c r="AV92" s="5">
        <v>31</v>
      </c>
      <c r="AW92" s="5">
        <v>4</v>
      </c>
      <c r="AX92" s="5" t="s">
        <v>1918</v>
      </c>
      <c r="AY92" s="5" t="s">
        <v>1918</v>
      </c>
      <c r="AZ92" s="5" t="s">
        <v>1918</v>
      </c>
      <c r="BA92" s="5" t="s">
        <v>1918</v>
      </c>
      <c r="BB92" s="5">
        <v>397</v>
      </c>
      <c r="BC92" s="5">
        <v>404</v>
      </c>
      <c r="BD92" s="5" t="s">
        <v>1918</v>
      </c>
      <c r="BE92" s="5" t="s">
        <v>1803</v>
      </c>
      <c r="BF92" s="5">
        <v>0</v>
      </c>
      <c r="BG92" s="5" t="s">
        <v>1918</v>
      </c>
      <c r="BH92" s="5" t="s">
        <v>1918</v>
      </c>
      <c r="BI92" s="5" t="s">
        <v>1918</v>
      </c>
      <c r="BJ92" s="5" t="s">
        <v>1918</v>
      </c>
      <c r="BK92" s="5" t="s">
        <v>1918</v>
      </c>
      <c r="BL92" s="5" t="s">
        <v>1918</v>
      </c>
      <c r="BM92" s="5" t="s">
        <v>1918</v>
      </c>
      <c r="BN92" s="5" t="s">
        <v>1918</v>
      </c>
      <c r="BO92" s="5" t="s">
        <v>1918</v>
      </c>
      <c r="BP92" s="5" t="s">
        <v>1918</v>
      </c>
      <c r="BQ92" s="5" t="s">
        <v>1918</v>
      </c>
      <c r="BR92" s="5" t="s">
        <v>1927</v>
      </c>
      <c r="BS92" s="5" t="s">
        <v>2686</v>
      </c>
      <c r="BT92" s="5">
        <v>0</v>
      </c>
      <c r="BU92">
        <f>COUNTIF('오픈소스&amp;직접수집'!F:F,'wos(corecollection)_260528'!BE92)</f>
        <v>0</v>
      </c>
      <c r="BV92">
        <f>COUNTIF('오픈소스&amp;직접수집'!A:A,'wos(corecollection)_260528'!I92)</f>
        <v>0</v>
      </c>
      <c r="BW92">
        <f t="shared" si="1"/>
        <v>0</v>
      </c>
    </row>
    <row r="93" spans="1:75" x14ac:dyDescent="0.3">
      <c r="A93" s="5" t="s">
        <v>2235</v>
      </c>
      <c r="B93" s="5" t="s">
        <v>2687</v>
      </c>
      <c r="C93" s="5" t="s">
        <v>1918</v>
      </c>
      <c r="D93" s="5" t="s">
        <v>1918</v>
      </c>
      <c r="E93" s="5" t="s">
        <v>1918</v>
      </c>
      <c r="F93" s="5" t="s">
        <v>2687</v>
      </c>
      <c r="G93" s="5" t="s">
        <v>1918</v>
      </c>
      <c r="H93" s="5" t="s">
        <v>1918</v>
      </c>
      <c r="I93" s="5" t="s">
        <v>2688</v>
      </c>
      <c r="J93" s="5" t="s">
        <v>2689</v>
      </c>
      <c r="K93" s="5" t="s">
        <v>1918</v>
      </c>
      <c r="L93" s="5" t="s">
        <v>1918</v>
      </c>
      <c r="M93" s="5" t="s">
        <v>1918</v>
      </c>
      <c r="N93" s="5" t="s">
        <v>1920</v>
      </c>
      <c r="O93" s="5" t="s">
        <v>1918</v>
      </c>
      <c r="P93" s="5" t="s">
        <v>1918</v>
      </c>
      <c r="Q93" s="5" t="s">
        <v>1918</v>
      </c>
      <c r="R93" s="5" t="s">
        <v>1918</v>
      </c>
      <c r="S93" s="5" t="s">
        <v>1918</v>
      </c>
      <c r="T93" s="5" t="s">
        <v>1918</v>
      </c>
      <c r="U93" s="5" t="s">
        <v>1918</v>
      </c>
      <c r="V93" s="5" t="s">
        <v>2690</v>
      </c>
      <c r="W93" s="5" t="s">
        <v>2691</v>
      </c>
      <c r="X93" s="5" t="s">
        <v>1918</v>
      </c>
      <c r="Y93" s="5" t="s">
        <v>2692</v>
      </c>
      <c r="Z93" s="5" t="s">
        <v>2693</v>
      </c>
      <c r="AA93" s="5" t="s">
        <v>1918</v>
      </c>
      <c r="AB93" s="5" t="s">
        <v>1918</v>
      </c>
      <c r="AC93" s="5" t="s">
        <v>1918</v>
      </c>
      <c r="AD93" s="5" t="s">
        <v>1918</v>
      </c>
      <c r="AE93" s="5" t="s">
        <v>1918</v>
      </c>
      <c r="AF93" s="5" t="s">
        <v>1918</v>
      </c>
      <c r="AG93" s="5">
        <v>75</v>
      </c>
      <c r="AH93" s="5">
        <v>260</v>
      </c>
      <c r="AI93" s="5">
        <v>329</v>
      </c>
      <c r="AJ93" s="5" t="s">
        <v>1918</v>
      </c>
      <c r="AK93" s="5" t="s">
        <v>1918</v>
      </c>
      <c r="AL93" s="5" t="s">
        <v>1918</v>
      </c>
      <c r="AM93" s="5" t="s">
        <v>1918</v>
      </c>
      <c r="AN93" s="5" t="s">
        <v>1918</v>
      </c>
      <c r="AO93" s="5" t="s">
        <v>1918</v>
      </c>
      <c r="AP93" s="5" t="s">
        <v>1918</v>
      </c>
      <c r="AQ93" s="5" t="s">
        <v>1918</v>
      </c>
      <c r="AR93" s="5" t="s">
        <v>1918</v>
      </c>
      <c r="AS93" s="5" t="s">
        <v>1918</v>
      </c>
      <c r="AT93" s="5" t="s">
        <v>2577</v>
      </c>
      <c r="AU93" s="5">
        <v>2005</v>
      </c>
      <c r="AV93" s="5">
        <v>110</v>
      </c>
      <c r="AW93" s="5">
        <v>4</v>
      </c>
      <c r="AX93" s="5" t="s">
        <v>1918</v>
      </c>
      <c r="AY93" s="5" t="s">
        <v>1918</v>
      </c>
      <c r="AZ93" s="5" t="s">
        <v>1918</v>
      </c>
      <c r="BA93" s="5" t="s">
        <v>1918</v>
      </c>
      <c r="BB93" s="5">
        <v>1206</v>
      </c>
      <c r="BC93" s="5">
        <v>1241</v>
      </c>
      <c r="BD93" s="5" t="s">
        <v>1918</v>
      </c>
      <c r="BE93" s="5" t="s">
        <v>2694</v>
      </c>
      <c r="BF93" s="5">
        <v>0</v>
      </c>
      <c r="BG93" s="5" t="s">
        <v>1918</v>
      </c>
      <c r="BH93" s="5" t="s">
        <v>1918</v>
      </c>
      <c r="BI93" s="5" t="s">
        <v>1918</v>
      </c>
      <c r="BJ93" s="5" t="s">
        <v>1918</v>
      </c>
      <c r="BK93" s="5" t="s">
        <v>1918</v>
      </c>
      <c r="BL93" s="5" t="s">
        <v>1918</v>
      </c>
      <c r="BM93" s="5" t="s">
        <v>1918</v>
      </c>
      <c r="BN93" s="5" t="s">
        <v>1918</v>
      </c>
      <c r="BO93" s="5" t="s">
        <v>1918</v>
      </c>
      <c r="BP93" s="5" t="s">
        <v>1918</v>
      </c>
      <c r="BQ93" s="5" t="s">
        <v>1918</v>
      </c>
      <c r="BR93" s="5" t="s">
        <v>1927</v>
      </c>
      <c r="BS93" s="5" t="s">
        <v>2695</v>
      </c>
      <c r="BT93" s="5">
        <v>0</v>
      </c>
      <c r="BU93">
        <f>COUNTIF('오픈소스&amp;직접수집'!F:F,'wos(corecollection)_260528'!BE93)</f>
        <v>0</v>
      </c>
      <c r="BV93">
        <f>COUNTIF('오픈소스&amp;직접수집'!A:A,'wos(corecollection)_260528'!I93)</f>
        <v>0</v>
      </c>
      <c r="BW93">
        <f t="shared" si="1"/>
        <v>0</v>
      </c>
    </row>
  </sheetData>
  <autoFilter ref="A1:BW93"/>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오픈소스&amp;직접수집</vt:lpstr>
      <vt:lpstr>wos(corecollection)_260528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배 수진</cp:lastModifiedBy>
  <dcterms:created xsi:type="dcterms:W3CDTF">2026-04-30T08:15:03Z</dcterms:created>
  <dcterms:modified xsi:type="dcterms:W3CDTF">2026-05-30T14:02:18Z</dcterms:modified>
</cp:coreProperties>
</file>